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P&amp;L (база)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Прогноз по объёмам" sheetId="5" state="visible" r:id="rId5"/>
    <sheet xmlns:r="http://schemas.openxmlformats.org/officeDocument/2006/relationships" name="Точка безубыточности" sheetId="6" state="visible" r:id="rId6"/>
    <sheet xmlns:r="http://schemas.openxmlformats.org/officeDocument/2006/relationships" name="Оценка капитализации" sheetId="7" state="visible" r:id="rId7"/>
    <sheet xmlns:r="http://schemas.openxmlformats.org/officeDocument/2006/relationships" name="Сравнение конкурентов" sheetId="8" state="visible" r:id="rId8"/>
    <sheet xmlns:r="http://schemas.openxmlformats.org/officeDocument/2006/relationships" name="Вердикт и меморандум" sheetId="9" state="visible" r:id="rId9"/>
    <sheet xmlns:r="http://schemas.openxmlformats.org/officeDocument/2006/relationships" name="Цель 80 млн" sheetId="10" state="visible" r:id="rId10"/>
    <sheet xmlns:r="http://schemas.openxmlformats.org/officeDocument/2006/relationships" name="White-label" sheetId="11" state="visible" r:id="rId11"/>
    <sheet xmlns:r="http://schemas.openxmlformats.org/officeDocument/2006/relationships" name="Сравнение моделей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0.0%"/>
    <numFmt numFmtId="166" formatCode="0.0\x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8000"/>
      <sz val="11"/>
    </font>
    <font>
      <name val="Arial"/>
      <b val="1"/>
      <color rgb="00000000"/>
      <sz val="13"/>
    </font>
    <font>
      <name val="Arial"/>
      <color rgb="00808080"/>
      <sz val="11"/>
    </font>
    <font>
      <name val="Arial"/>
      <color rgb="00000000"/>
      <sz val="11"/>
    </font>
    <font>
      <name val="Arial"/>
      <b val="1"/>
      <color rgb="000000FF"/>
    </font>
    <font>
      <name val="Arial"/>
      <b val="1"/>
      <color rgb="00000000"/>
      <sz val="11"/>
    </font>
    <font>
      <name val="Arial"/>
      <b val="1"/>
      <color rgb="00008000"/>
      <sz val="11"/>
    </font>
    <font>
      <name val="Arial"/>
      <color rgb="00008000"/>
      <sz val="1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right" vertical="center"/>
    </xf>
    <xf numFmtId="1" fontId="9" fillId="4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0" fontId="7" fillId="0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right" vertical="center"/>
    </xf>
    <xf numFmtId="1" fontId="9" fillId="4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0" fontId="7" fillId="0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9" fontId="14" fillId="7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horizontal="right"/>
    </xf>
    <xf numFmtId="3" fontId="17" fillId="0" borderId="0" pivotButton="0" quotePrefix="0" xfId="0"/>
    <xf numFmtId="3" fontId="13" fillId="0" borderId="0" pivotButton="0" quotePrefix="0" xfId="0"/>
    <xf numFmtId="3" fontId="15" fillId="0" borderId="0" pivotButton="0" quotePrefix="0" xfId="0"/>
    <xf numFmtId="165" fontId="13" fillId="0" borderId="0" pivotButton="0" quotePrefix="0" xfId="0"/>
    <xf numFmtId="0" fontId="15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right"/>
    </xf>
    <xf numFmtId="9" fontId="14" fillId="0" borderId="0" pivotButton="0" quotePrefix="0" xfId="0"/>
    <xf numFmtId="0" fontId="15" fillId="0" borderId="0" applyAlignment="1" pivotButton="0" quotePrefix="0" xfId="0">
      <alignment horizontal="left" wrapText="1"/>
    </xf>
    <xf numFmtId="0" fontId="15" fillId="0" borderId="0" applyAlignment="1" pivotButton="0" quotePrefix="0" xfId="0">
      <alignment horizontal="center" wrapText="1"/>
    </xf>
    <xf numFmtId="165" fontId="13" fillId="0" borderId="0" applyAlignment="1" pivotButton="0" quotePrefix="0" xfId="0">
      <alignment horizontal="center"/>
    </xf>
    <xf numFmtId="3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57" min="1" max="1"/>
    <col width="16" customWidth="1" style="57" min="2" max="2"/>
    <col width="14" customWidth="1" style="57" min="3" max="3"/>
    <col width="52" customWidth="1" style="57" min="4" max="4"/>
  </cols>
  <sheetData>
    <row r="1" ht="17.25" customHeight="1" s="58">
      <c r="A1" s="59" t="inlineStr">
        <is>
          <t>ЗАЛОГОВАЯ ИНВЕСТ-ПЛАТФОРМА — КЛЮЧЕВЫЕ ДОПУЩЕНИЯ</t>
        </is>
      </c>
    </row>
    <row r="2" ht="15" customHeight="1" s="58">
      <c r="A2" s="60" t="inlineStr">
        <is>
          <t>Синие ячейки — вводные (можно менять). Чёрные — формулы.</t>
        </is>
      </c>
    </row>
    <row r="4" ht="15" customHeight="1" s="58">
      <c r="A4" s="61" t="inlineStr">
        <is>
          <t>Параметр</t>
        </is>
      </c>
      <c r="B4" s="61" t="inlineStr">
        <is>
          <t>Значение</t>
        </is>
      </c>
      <c r="C4" s="61" t="inlineStr">
        <is>
          <t>Ед.</t>
        </is>
      </c>
      <c r="D4" s="61" t="inlineStr">
        <is>
          <t>Обоснование</t>
        </is>
      </c>
    </row>
    <row r="5" ht="15" customHeight="1" s="58">
      <c r="A5" s="62" t="inlineStr">
        <is>
          <t>ОБЪЁМ И СДЕЛКИ</t>
        </is>
      </c>
      <c r="B5" s="63" t="n"/>
      <c r="C5" s="63" t="n"/>
      <c r="D5" s="63" t="n"/>
    </row>
    <row r="6" ht="15" customHeight="1" s="58">
      <c r="A6" s="64" t="inlineStr">
        <is>
          <t>Объём финансирования в месяц (база)</t>
        </is>
      </c>
      <c r="B6" s="65" t="n">
        <v>100000000</v>
      </c>
      <c r="C6" s="66" t="inlineStr">
        <is>
          <t>руб/мес</t>
        </is>
      </c>
      <c r="D6" s="67" t="inlineStr">
        <is>
          <t>Базовый сценарий по ТЗ</t>
        </is>
      </c>
    </row>
    <row r="7" ht="21.75" customHeight="1" s="58">
      <c r="A7" s="64" t="inlineStr">
        <is>
          <t>Средний размер сделки</t>
        </is>
      </c>
      <c r="B7" s="65" t="n">
        <v>2500000</v>
      </c>
      <c r="C7" s="66" t="inlineStr">
        <is>
          <t>руб</t>
        </is>
      </c>
      <c r="D7" s="67" t="inlineStr">
        <is>
          <t>Микс: недвижимость 5–7 млн, авто 1–1.5 млн, спецтехника 2–3 млн. Взвеш. ~2.5 млн</t>
        </is>
      </c>
    </row>
    <row r="8" ht="15" customHeight="1" s="58">
      <c r="A8" s="64" t="inlineStr">
        <is>
          <t>Количество сделок в месяц</t>
        </is>
      </c>
      <c r="B8" s="68">
        <f>B6/B7</f>
        <v/>
      </c>
      <c r="C8" s="66" t="inlineStr">
        <is>
          <t>шт</t>
        </is>
      </c>
      <c r="D8" s="67" t="inlineStr">
        <is>
          <t>Объём / Средний чек</t>
        </is>
      </c>
    </row>
    <row r="9" ht="15" customHeight="1" s="58">
      <c r="A9" s="64" t="inlineStr">
        <is>
          <t>Средний срок займа</t>
        </is>
      </c>
      <c r="B9" s="69" t="n">
        <v>12</v>
      </c>
      <c r="C9" s="66" t="inlineStr">
        <is>
          <t>мес</t>
        </is>
      </c>
      <c r="D9" s="67" t="inlineStr">
        <is>
          <t>Залоговые займы 6–18 мес</t>
        </is>
      </c>
    </row>
    <row r="11" ht="15" customHeight="1" s="58">
      <c r="A11" s="62" t="inlineStr">
        <is>
          <t>КОМИССИИ (TAKE RATE, % от суммы займа)</t>
        </is>
      </c>
      <c r="B11" s="63" t="n"/>
      <c r="C11" s="63" t="n"/>
      <c r="D11" s="63" t="n"/>
    </row>
    <row r="12" ht="15" customHeight="1" s="58">
      <c r="A12" s="64" t="inlineStr">
        <is>
          <t>Комиссия с заёмщика</t>
        </is>
      </c>
      <c r="B12" s="70" t="n">
        <v>0.035</v>
      </c>
      <c r="C12" s="66" t="inlineStr">
        <is>
          <t>% от займа</t>
        </is>
      </c>
      <c r="D12" s="67" t="inlineStr">
        <is>
          <t>Повышено до 3.5% (Вариант 3)</t>
        </is>
      </c>
    </row>
    <row r="13" ht="15" customHeight="1" s="58">
      <c r="A13" s="64" t="inlineStr">
        <is>
          <t>Комиссия с инвестора</t>
        </is>
      </c>
      <c r="B13" s="70" t="inlineStr">
        <is>
          <t>0.015</t>
        </is>
      </c>
      <c r="C13" s="66" t="inlineStr">
        <is>
          <t>% от займа</t>
        </is>
      </c>
      <c r="D13" s="67" t="inlineStr">
        <is>
          <t>Сервисный сбор за подбор сделок: 1–2%</t>
        </is>
      </c>
    </row>
    <row r="14" ht="15" customHeight="1" s="58">
      <c r="A14" s="64" t="inlineStr">
        <is>
          <t>Доп. услуги (юр., ускор., страх., VIP)</t>
        </is>
      </c>
      <c r="B14" s="70" t="n">
        <v>0.015</v>
      </c>
      <c r="C14" s="66" t="inlineStr">
        <is>
          <t>% от займа</t>
        </is>
      </c>
      <c r="D14" s="67" t="inlineStr">
        <is>
          <t>Допуслуги 1.5%: юр.сопровождение, ускор.проверка, страхование, VIP</t>
        </is>
      </c>
    </row>
    <row r="15" ht="15" customHeight="1" s="58">
      <c r="A15" s="71" t="inlineStr">
        <is>
          <t>ИТОГО take rate</t>
        </is>
      </c>
      <c r="B15" s="72">
        <f>B12+B13+B14</f>
        <v/>
      </c>
      <c r="C15" s="66" t="inlineStr">
        <is>
          <t>% от займа</t>
        </is>
      </c>
    </row>
    <row r="17" ht="15" customHeight="1" s="58">
      <c r="A17" s="62" t="inlineStr">
        <is>
          <t>ПЕРЕМЕННЫЕ РАСХОДЫ (% от объёма)</t>
        </is>
      </c>
      <c r="B17" s="63" t="n"/>
      <c r="C17" s="63" t="n"/>
      <c r="D17" s="63" t="n"/>
    </row>
    <row r="18" ht="21.75" customHeight="1" s="58">
      <c r="A18" s="64" t="inlineStr">
        <is>
          <t>Проверка/оценка залога</t>
        </is>
      </c>
      <c r="B18" s="70" t="n">
        <v>0.005</v>
      </c>
      <c r="C18" s="66" t="inlineStr">
        <is>
          <t>% от объёма</t>
        </is>
      </c>
      <c r="D18" s="67" t="inlineStr">
        <is>
          <t>ИИ-оценка залога автоматически; ручная аналитика ~15% сделок (стоп-факторы). ~12 тыс ₽/сделку взвеш.</t>
        </is>
      </c>
    </row>
    <row r="19" ht="15" customHeight="1" s="58">
      <c r="A19" s="64" t="inlineStr">
        <is>
          <t>Резервный (гарантийный) фонд</t>
        </is>
      </c>
      <c r="B19" s="70" t="inlineStr">
        <is>
          <t>0.005</t>
        </is>
      </c>
      <c r="C19" s="66" t="inlineStr">
        <is>
          <t>% от объёма</t>
        </is>
      </c>
      <c r="D19" s="67" t="inlineStr">
        <is>
          <t>Provision/buyback fund 0.5% для доверия инвесторов</t>
        </is>
      </c>
    </row>
    <row r="20" ht="15" customHeight="1" s="58">
      <c r="A20" s="64" t="inlineStr">
        <is>
          <t>Маркетинг / привлечение (CAC)</t>
        </is>
      </c>
      <c r="B20" s="70" t="n">
        <v>0.007</v>
      </c>
      <c r="C20" s="66" t="inlineStr">
        <is>
          <t>% от объёма</t>
        </is>
      </c>
      <c r="D20" s="67" t="inlineStr">
        <is>
          <t>0.7% — упор на рефералов и сарафан (Вариант 3)</t>
        </is>
      </c>
    </row>
    <row r="21" ht="15" customHeight="1" s="58">
      <c r="A21" s="64" t="inlineStr">
        <is>
          <t>Эквайринг / платежи</t>
        </is>
      </c>
      <c r="B21" s="70" t="inlineStr">
        <is>
          <t>0.0002</t>
        </is>
      </c>
      <c r="C21" s="66" t="inlineStr">
        <is>
          <t>% от объёма</t>
        </is>
      </c>
      <c r="D21" s="67" t="inlineStr">
        <is>
          <t>~0.3% от комиссий</t>
        </is>
      </c>
    </row>
    <row r="22" ht="15" customHeight="1" s="58">
      <c r="A22" s="71" t="inlineStr">
        <is>
          <t>ИТОГО переменные</t>
        </is>
      </c>
      <c r="B22" s="72">
        <f>B18+B19+B20+B21</f>
        <v/>
      </c>
      <c r="C22" s="66" t="inlineStr">
        <is>
          <t>% от объёма</t>
        </is>
      </c>
    </row>
    <row r="23" ht="15" customHeight="1" s="58">
      <c r="A23" s="71" t="inlineStr">
        <is>
          <t>Маржа вклада (contribution margin)</t>
        </is>
      </c>
      <c r="B23" s="73">
        <f>B15-B22</f>
        <v/>
      </c>
      <c r="C23" s="66" t="inlineStr">
        <is>
          <t>% от объёма</t>
        </is>
      </c>
    </row>
    <row r="25" ht="15" customHeight="1" s="58">
      <c r="A25" s="62" t="inlineStr">
        <is>
          <t>ПОСТОЯННЫЕ РАСХОДЫ (база, 100 млн/мес)</t>
        </is>
      </c>
      <c r="B25" s="63" t="n"/>
      <c r="C25" s="63" t="n"/>
      <c r="D25" s="63" t="n"/>
    </row>
    <row r="26" ht="15" customHeight="1" s="58">
      <c r="A26" s="64" t="inlineStr">
        <is>
          <t>ФОТ команды (с налогами)</t>
        </is>
      </c>
      <c r="B26" s="65" t="n">
        <v>1300000</v>
      </c>
      <c r="C26" s="66" t="inlineStr">
        <is>
          <t>руб/мес</t>
        </is>
      </c>
      <c r="D26" s="67" t="inlineStr">
        <is>
          <t>Компактная команда ~7 чел (Вариант 3): ИИ-автоматизация + стоп-факторы, юр.экспертиза, продажи</t>
        </is>
      </c>
    </row>
    <row r="27" ht="15" customHeight="1" s="58">
      <c r="A27" s="64" t="inlineStr">
        <is>
          <t>Аренда и офис</t>
        </is>
      </c>
      <c r="B27" s="65" t="n">
        <v>200000</v>
      </c>
      <c r="C27" s="66" t="inlineStr">
        <is>
          <t>руб/мес</t>
        </is>
      </c>
      <c r="D27" s="67" t="n"/>
    </row>
    <row r="28" ht="15" customHeight="1" s="58">
      <c r="A28" s="64" t="inlineStr">
        <is>
          <t>IT-инфраструктура и ИИ-скоринг</t>
        </is>
      </c>
      <c r="B28" s="65" t="n">
        <v>700000</v>
      </c>
      <c r="C28" s="66" t="inlineStr">
        <is>
          <t>руб/мес</t>
        </is>
      </c>
      <c r="D28" s="67" t="inlineStr">
        <is>
          <t>ML-модели, ИИ-скоринг, OCR-оценка залога, API БКИ, compute</t>
        </is>
      </c>
    </row>
    <row r="29" ht="15" customHeight="1" s="58">
      <c r="A29" s="64" t="inlineStr">
        <is>
          <t>Прочие админ. расходы</t>
        </is>
      </c>
      <c r="B29" s="65" t="n">
        <v>200000</v>
      </c>
      <c r="C29" s="66" t="inlineStr">
        <is>
          <t>руб/мес</t>
        </is>
      </c>
      <c r="D29" s="67" t="inlineStr">
        <is>
          <t>Бухгалтерия, связь, ПО</t>
        </is>
      </c>
    </row>
    <row r="30" ht="15" customHeight="1" s="58">
      <c r="A30" s="71" t="inlineStr">
        <is>
          <t>ИТОГО постоянные (база)</t>
        </is>
      </c>
      <c r="B30" s="74">
        <f>B26+B27+B28+B29</f>
        <v/>
      </c>
    </row>
    <row r="32" ht="15" customHeight="1" s="58">
      <c r="A32" s="62" t="inlineStr">
        <is>
          <t>НАЛОГИ И ОЦЕНКА</t>
        </is>
      </c>
      <c r="B32" s="63" t="n"/>
      <c r="C32" s="63" t="n"/>
      <c r="D32" s="63" t="n"/>
    </row>
    <row r="33" ht="15" customHeight="1" s="58">
      <c r="A33" s="64" t="inlineStr">
        <is>
          <t>Налог на прибыль</t>
        </is>
      </c>
      <c r="B33" s="75" t="inlineStr">
        <is>
          <t>0.25</t>
        </is>
      </c>
      <c r="C33" s="66" t="inlineStr">
        <is>
          <t>%</t>
        </is>
      </c>
      <c r="D33" s="67" t="inlineStr">
        <is>
          <t>ОСНО, ставка налога на прибыль РФ с 2025 = 25%</t>
        </is>
      </c>
    </row>
    <row r="34" ht="15" customHeight="1" s="58">
      <c r="A34" s="64" t="inlineStr">
        <is>
          <t>Налог на дивиденды (НДФЛ)</t>
        </is>
      </c>
      <c r="B34" s="75" t="inlineStr">
        <is>
          <t>0.13</t>
        </is>
      </c>
      <c r="C34" s="66" t="inlineStr">
        <is>
          <t>%</t>
        </is>
      </c>
      <c r="D34" s="67" t="inlineStr">
        <is>
          <t>НДФЛ на дивиденды собственника</t>
        </is>
      </c>
    </row>
    <row r="35" ht="21.75" customHeight="1" s="58">
      <c r="A35" s="64" t="inlineStr">
        <is>
          <t>Дефолт по портфелю (справочно)</t>
        </is>
      </c>
      <c r="B35" s="75" t="inlineStr">
        <is>
          <t>0.05</t>
        </is>
      </c>
      <c r="C35" s="66" t="inlineStr">
        <is>
          <t>%</t>
        </is>
      </c>
      <c r="D35" s="67" t="inlineStr">
        <is>
          <t>4–6% — влияет на доход инвестора, не на P&amp;L платформы (риск у инвестора)</t>
        </is>
      </c>
    </row>
    <row r="36" ht="15" customHeight="1" s="58">
      <c r="A36" s="64" t="inlineStr">
        <is>
          <t>Мультипликатор EV/EBITDA</t>
        </is>
      </c>
      <c r="B36" s="76" t="inlineStr">
        <is>
          <t>10</t>
        </is>
      </c>
      <c r="C36" s="66" t="inlineStr">
        <is>
          <t>x</t>
        </is>
      </c>
      <c r="D36" s="67" t="inlineStr">
        <is>
          <t>Финтех-маркетплейсы 8–12x</t>
        </is>
      </c>
    </row>
    <row r="37" ht="15" customHeight="1" s="58">
      <c r="A37" s="64" t="inlineStr">
        <is>
          <t>Мультипликатор EV/Revenue</t>
        </is>
      </c>
      <c r="B37" s="76" t="inlineStr">
        <is>
          <t>4</t>
        </is>
      </c>
      <c r="C37" s="66" t="inlineStr">
        <is>
          <t>x</t>
        </is>
      </c>
      <c r="D37" s="67" t="inlineStr">
        <is>
          <t>Растущие финтехи 3–5x</t>
        </is>
      </c>
    </row>
    <row r="38" ht="15" customHeight="1" s="58">
      <c r="A38" s="64" t="inlineStr">
        <is>
          <t>Ставка дисконтирования (WACC)</t>
        </is>
      </c>
      <c r="B38" s="75" t="inlineStr">
        <is>
          <t>0.30</t>
        </is>
      </c>
      <c r="C38" s="66" t="inlineStr">
        <is>
          <t>%</t>
        </is>
      </c>
      <c r="D38" s="67" t="inlineStr">
        <is>
          <t>Венчур РФ, ранняя стадия 25–35%</t>
        </is>
      </c>
    </row>
    <row r="39" ht="15" customHeight="1" s="58">
      <c r="A39" s="64" t="inlineStr">
        <is>
          <t>Терминальный рост (g)</t>
        </is>
      </c>
      <c r="B39" s="75" t="inlineStr">
        <is>
          <t>0.04</t>
        </is>
      </c>
      <c r="C39" s="66" t="inlineStr">
        <is>
          <t>%</t>
        </is>
      </c>
      <c r="D39" s="67" t="inlineStr">
        <is>
          <t>Долгосрочный рост ~инфляция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57" min="1" max="1"/>
    <col width="18" customWidth="1" style="57" min="2" max="2"/>
    <col width="14" customWidth="1" style="57" min="3" max="3"/>
    <col width="40" customWidth="1" style="57" min="4" max="4"/>
  </cols>
  <sheetData>
    <row r="1" ht="17.25" customHeight="1" s="58">
      <c r="A1" s="59" t="inlineStr">
        <is>
          <t>UNIT ECONOMICS ОДНОЙ СДЕЛКИ</t>
        </is>
      </c>
    </row>
    <row r="2" ht="15" customHeight="1" s="58">
      <c r="A2" s="60" t="inlineStr">
        <is>
          <t>Средняя сделка по базовым допущениям</t>
        </is>
      </c>
    </row>
    <row r="4" ht="15" customHeight="1" s="58">
      <c r="A4" s="61" t="inlineStr">
        <is>
          <t>Показатель</t>
        </is>
      </c>
      <c r="B4" s="61" t="inlineStr">
        <is>
          <t>Значение</t>
        </is>
      </c>
      <c r="C4" s="61" t="inlineStr">
        <is>
          <t>Формула/ед.</t>
        </is>
      </c>
      <c r="D4" s="61" t="inlineStr">
        <is>
          <t>Комментарий</t>
        </is>
      </c>
    </row>
    <row r="5" ht="15" customHeight="1" s="58">
      <c r="A5" s="64" t="inlineStr">
        <is>
          <t>Средний размер займа</t>
        </is>
      </c>
      <c r="B5" s="77">
        <f>Допущения!B7</f>
        <v/>
      </c>
      <c r="C5" s="66" t="n"/>
      <c r="D5" s="67" t="n"/>
    </row>
    <row r="6" ht="15" customHeight="1" s="58">
      <c r="A6" s="64" t="inlineStr">
        <is>
          <t>Срок займа, мес</t>
        </is>
      </c>
      <c r="B6" s="68">
        <f>Допущения!B9</f>
        <v/>
      </c>
      <c r="C6" s="66" t="n"/>
      <c r="D6" s="67" t="n"/>
    </row>
    <row r="7" ht="15" customHeight="1" s="58">
      <c r="A7" s="62" t="inlineStr">
        <is>
          <t>ДОХОДЫ С СДЕЛКИ</t>
        </is>
      </c>
      <c r="B7" s="63" t="n"/>
      <c r="C7" s="63" t="n"/>
      <c r="D7" s="63" t="n"/>
    </row>
    <row r="8" ht="15" customHeight="1" s="58">
      <c r="A8" s="64" t="inlineStr">
        <is>
          <t>Комиссия с заёмщика</t>
        </is>
      </c>
      <c r="B8" s="77">
        <f>B5*Допущения!B12</f>
        <v/>
      </c>
      <c r="C8" s="66" t="n"/>
      <c r="D8" s="67" t="inlineStr">
        <is>
          <t>3% от займа</t>
        </is>
      </c>
    </row>
    <row r="9" ht="15" customHeight="1" s="58">
      <c r="A9" s="64" t="inlineStr">
        <is>
          <t>Комиссия с инвестора</t>
        </is>
      </c>
      <c r="B9" s="77">
        <f>B5*Допущения!B13</f>
        <v/>
      </c>
      <c r="C9" s="66" t="n"/>
      <c r="D9" s="67" t="inlineStr">
        <is>
          <t>1.5% от займа</t>
        </is>
      </c>
    </row>
    <row r="10" ht="15" customHeight="1" s="58">
      <c r="A10" s="64" t="inlineStr">
        <is>
          <t>Доп. услуги</t>
        </is>
      </c>
      <c r="B10" s="77">
        <f>B5*Допущения!B14</f>
        <v/>
      </c>
      <c r="C10" s="66" t="n"/>
      <c r="D10" s="67" t="inlineStr">
        <is>
          <t>1% от займа</t>
        </is>
      </c>
    </row>
    <row r="11" ht="15" customHeight="1" s="58">
      <c r="A11" s="64" t="inlineStr">
        <is>
          <t>Выручка с сделки</t>
        </is>
      </c>
      <c r="B11" s="78">
        <f>B8+B9+B10</f>
        <v/>
      </c>
      <c r="C11" s="66" t="n"/>
      <c r="D11" s="67" t="n"/>
    </row>
    <row r="12" ht="15" customHeight="1" s="58">
      <c r="A12" s="62" t="inlineStr">
        <is>
          <t>ПЕРЕМЕННЫЕ РАСХОДЫ С СДЕЛКИ</t>
        </is>
      </c>
      <c r="B12" s="63" t="n"/>
      <c r="C12" s="63" t="n"/>
      <c r="D12" s="63" t="n"/>
    </row>
    <row r="13" ht="15" customHeight="1" s="58">
      <c r="A13" s="64" t="inlineStr">
        <is>
          <t>Проверка/оценка залога</t>
        </is>
      </c>
      <c r="B13" s="77">
        <f>B5*Допущения!B18</f>
        <v/>
      </c>
      <c r="C13" s="66" t="n"/>
      <c r="D13" s="67" t="n"/>
    </row>
    <row r="14" ht="15" customHeight="1" s="58">
      <c r="A14" s="64" t="inlineStr">
        <is>
          <t>Резервный фонд</t>
        </is>
      </c>
      <c r="B14" s="77">
        <f>B5*Допущения!B19</f>
        <v/>
      </c>
      <c r="C14" s="66" t="n"/>
      <c r="D14" s="67" t="n"/>
    </row>
    <row r="15" ht="15" customHeight="1" s="58">
      <c r="A15" s="64" t="inlineStr">
        <is>
          <t>Маркетинг/CAC</t>
        </is>
      </c>
      <c r="B15" s="77">
        <f>B5*Допущения!B20</f>
        <v/>
      </c>
      <c r="C15" s="66" t="n"/>
      <c r="D15" s="67" t="n"/>
    </row>
    <row r="16" ht="15" customHeight="1" s="58">
      <c r="A16" s="64" t="inlineStr">
        <is>
          <t>Эквайринг</t>
        </is>
      </c>
      <c r="B16" s="77">
        <f>B5*Допущения!B21</f>
        <v/>
      </c>
      <c r="C16" s="66" t="n"/>
      <c r="D16" s="67" t="n"/>
    </row>
    <row r="17" ht="15" customHeight="1" s="58">
      <c r="A17" s="64" t="inlineStr">
        <is>
          <t>Переменные расходы с сделки</t>
        </is>
      </c>
      <c r="B17" s="74">
        <f>B13+B14+B15+B16</f>
        <v/>
      </c>
      <c r="C17" s="66" t="n"/>
      <c r="D17" s="67" t="n"/>
    </row>
    <row r="18" ht="15" customHeight="1" s="58">
      <c r="A18" s="64" t="inlineStr">
        <is>
          <t>Маржа вклада с сделки (₽)</t>
        </is>
      </c>
      <c r="B18" s="78">
        <f>B11-B17</f>
        <v/>
      </c>
      <c r="C18" s="66" t="n"/>
      <c r="D18" s="67" t="n"/>
    </row>
    <row r="19" ht="15" customHeight="1" s="58">
      <c r="A19" s="64" t="inlineStr">
        <is>
          <t>Маржа вклада, %</t>
        </is>
      </c>
      <c r="B19" s="79">
        <f>B18/B5</f>
        <v/>
      </c>
      <c r="C19" s="66" t="n"/>
      <c r="D19" s="67" t="inlineStr">
        <is>
          <t>contribution margin</t>
        </is>
      </c>
    </row>
    <row r="20" ht="15" customHeight="1" s="58">
      <c r="A20" s="64" t="inlineStr">
        <is>
          <t>Доходность на 1 ₽ выданного объёма</t>
        </is>
      </c>
      <c r="B20" s="79">
        <f>B18/B5</f>
        <v/>
      </c>
      <c r="C20" s="66" t="n"/>
      <c r="D20" s="67" t="inlineStr">
        <is>
          <t>ключевая метрика юнита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57" min="1" max="1"/>
    <col width="18" customWidth="1" style="57" min="2" max="3"/>
    <col width="36" customWidth="1" style="57" min="4" max="4"/>
  </cols>
  <sheetData>
    <row r="1" ht="17.25" customHeight="1" s="58">
      <c r="A1" s="59" t="inlineStr">
        <is>
          <t>P&amp;L — БАЗОВЫЙ СЦЕНАРИЙ (100 млн ₽/мес)</t>
        </is>
      </c>
    </row>
    <row r="4" ht="15" customHeight="1" s="58">
      <c r="A4" s="61" t="inlineStr">
        <is>
          <t>Статья</t>
        </is>
      </c>
      <c r="B4" s="61" t="inlineStr">
        <is>
          <t>В месяц</t>
        </is>
      </c>
      <c r="C4" s="61" t="inlineStr">
        <is>
          <t>В год</t>
        </is>
      </c>
      <c r="D4" s="61" t="inlineStr">
        <is>
          <t>Комментарий</t>
        </is>
      </c>
    </row>
    <row r="5" ht="15" customHeight="1" s="58">
      <c r="A5" s="64" t="inlineStr">
        <is>
          <t>Объём финансирования</t>
        </is>
      </c>
      <c r="B5" s="77">
        <f>Допущения!B6</f>
        <v/>
      </c>
      <c r="C5" s="77">
        <f>B5*12</f>
        <v/>
      </c>
      <c r="D5" s="67" t="n"/>
    </row>
    <row r="6" ht="15" customHeight="1" s="58">
      <c r="A6" s="64" t="inlineStr">
        <is>
          <t>Количество сделок</t>
        </is>
      </c>
      <c r="B6" s="68">
        <f>Допущения!B8</f>
        <v/>
      </c>
      <c r="C6" s="68">
        <f>B6*12</f>
        <v/>
      </c>
      <c r="D6" s="67" t="n"/>
    </row>
    <row r="7" ht="15" customHeight="1" s="58">
      <c r="A7" s="64" t="inlineStr">
        <is>
          <t xml:space="preserve">  Комиссия с заёмщика</t>
        </is>
      </c>
      <c r="B7" s="77">
        <f>Допущения!B6*Допущения!B12</f>
        <v/>
      </c>
      <c r="C7" s="77">
        <f>B7*12</f>
        <v/>
      </c>
      <c r="D7" s="67" t="n"/>
    </row>
    <row r="8" ht="15" customHeight="1" s="58">
      <c r="A8" s="64" t="inlineStr">
        <is>
          <t xml:space="preserve">  Комиссия с инвестора</t>
        </is>
      </c>
      <c r="B8" s="77">
        <f>Допущения!B6*Допущения!B13</f>
        <v/>
      </c>
      <c r="C8" s="77">
        <f>B8*12</f>
        <v/>
      </c>
      <c r="D8" s="67" t="n"/>
    </row>
    <row r="9" ht="15" customHeight="1" s="58">
      <c r="A9" s="64" t="inlineStr">
        <is>
          <t xml:space="preserve">  Доп. услуги</t>
        </is>
      </c>
      <c r="B9" s="77">
        <f>Допущения!B6*Допущения!B14</f>
        <v/>
      </c>
      <c r="C9" s="77">
        <f>B9*12</f>
        <v/>
      </c>
      <c r="D9" s="67" t="n"/>
    </row>
    <row r="10" ht="15" customHeight="1" s="58">
      <c r="A10" s="80" t="inlineStr">
        <is>
          <t>ВЫРУЧКА (Revenue)</t>
        </is>
      </c>
      <c r="B10" s="78">
        <f>B7+B8+B9</f>
        <v/>
      </c>
      <c r="C10" s="78">
        <f>B10*12</f>
        <v/>
      </c>
      <c r="D10" s="81" t="n"/>
    </row>
    <row r="11" ht="15" customHeight="1" s="58">
      <c r="A11" s="64" t="inlineStr">
        <is>
          <t xml:space="preserve">  Проверка/оценка залога</t>
        </is>
      </c>
      <c r="B11" s="77">
        <f>-Допущения!B6*Допущения!B18</f>
        <v/>
      </c>
      <c r="C11" s="77">
        <f>B11*12</f>
        <v/>
      </c>
      <c r="D11" s="67" t="n"/>
    </row>
    <row r="12" ht="15" customHeight="1" s="58">
      <c r="A12" s="64" t="inlineStr">
        <is>
          <t xml:space="preserve">  Резервный фонд</t>
        </is>
      </c>
      <c r="B12" s="77">
        <f>-Допущения!B6*Допущения!B19</f>
        <v/>
      </c>
      <c r="C12" s="77">
        <f>B12*12</f>
        <v/>
      </c>
      <c r="D12" s="67" t="n"/>
    </row>
    <row r="13" ht="15" customHeight="1" s="58">
      <c r="A13" s="64" t="inlineStr">
        <is>
          <t xml:space="preserve">  Маркетинг/CAC</t>
        </is>
      </c>
      <c r="B13" s="77">
        <f>-Допущения!B6*Допущения!B20</f>
        <v/>
      </c>
      <c r="C13" s="77">
        <f>B13*12</f>
        <v/>
      </c>
      <c r="D13" s="67" t="n"/>
    </row>
    <row r="14" ht="15" customHeight="1" s="58">
      <c r="A14" s="64" t="inlineStr">
        <is>
          <t xml:space="preserve">  Эквайринг</t>
        </is>
      </c>
      <c r="B14" s="77">
        <f>-Допущения!B6*Допущения!B21</f>
        <v/>
      </c>
      <c r="C14" s="77">
        <f>B14*12</f>
        <v/>
      </c>
      <c r="D14" s="67" t="n"/>
    </row>
    <row r="15" ht="15" customHeight="1" s="58">
      <c r="A15" s="64" t="inlineStr">
        <is>
          <t>Переменные расходы</t>
        </is>
      </c>
      <c r="B15" s="74">
        <f>SUM(B11:B14)</f>
        <v/>
      </c>
      <c r="C15" s="74">
        <f>B15*12</f>
        <v/>
      </c>
      <c r="D15" s="67" t="n"/>
    </row>
    <row r="16" ht="15" customHeight="1" s="58">
      <c r="A16" s="80" t="inlineStr">
        <is>
          <t>Маржа вклада (Gross profit)</t>
        </is>
      </c>
      <c r="B16" s="78">
        <f>B10+B15</f>
        <v/>
      </c>
      <c r="C16" s="78">
        <f>B16*12</f>
        <v/>
      </c>
      <c r="D16" s="81" t="n"/>
    </row>
    <row r="17" ht="15" customHeight="1" s="58">
      <c r="A17" s="82" t="inlineStr">
        <is>
          <t>Постоянные расходы (OpEx)</t>
        </is>
      </c>
      <c r="B17" s="83">
        <f>-Допущения!B30</f>
        <v/>
      </c>
      <c r="C17" s="83">
        <f>B17*12</f>
        <v/>
      </c>
      <c r="D17" s="84" t="inlineStr">
        <is>
          <t>ФОТ, офис, IT, админ</t>
        </is>
      </c>
    </row>
    <row r="18" ht="15" customHeight="1" s="58">
      <c r="A18" s="85" t="inlineStr">
        <is>
          <t>EBITDA</t>
        </is>
      </c>
      <c r="B18" s="86">
        <f>B16+B17</f>
        <v/>
      </c>
      <c r="C18" s="86">
        <f>B18*12</f>
        <v/>
      </c>
      <c r="D18" s="87" t="n"/>
    </row>
    <row r="19" ht="15" customHeight="1" s="58">
      <c r="A19" s="64" t="inlineStr">
        <is>
          <t xml:space="preserve">  Рентабельность по EBITDA</t>
        </is>
      </c>
      <c r="B19" s="88">
        <f>B18/B10</f>
        <v/>
      </c>
      <c r="C19" s="88">
        <f>B19*12</f>
        <v/>
      </c>
      <c r="D19" s="67" t="n"/>
    </row>
    <row r="20" ht="15" customHeight="1" s="58">
      <c r="A20" s="64" t="inlineStr">
        <is>
          <t>Амортизация (D&amp;A)</t>
        </is>
      </c>
      <c r="B20" s="77">
        <f>-50000</f>
        <v/>
      </c>
      <c r="C20" s="77">
        <f>B20*12</f>
        <v/>
      </c>
      <c r="D20" s="67" t="inlineStr">
        <is>
          <t>оборудование/ПО</t>
        </is>
      </c>
    </row>
    <row r="21" ht="15" customHeight="1" s="58">
      <c r="A21" s="64" t="inlineStr">
        <is>
          <t>EBIT</t>
        </is>
      </c>
      <c r="B21" s="74">
        <f>B18+B20</f>
        <v/>
      </c>
      <c r="C21" s="74">
        <f>B21*12</f>
        <v/>
      </c>
      <c r="D21" s="67" t="n"/>
    </row>
    <row r="22" ht="15" customHeight="1" s="58">
      <c r="A22" s="64" t="inlineStr">
        <is>
          <t>Налог на прибыль</t>
        </is>
      </c>
      <c r="B22" s="77">
        <f>-MAX(0,B21)*Допущения!B33</f>
        <v/>
      </c>
      <c r="C22" s="77">
        <f>B22*12</f>
        <v/>
      </c>
      <c r="D22" s="67" t="inlineStr">
        <is>
          <t>25%, только при прибыли</t>
        </is>
      </c>
    </row>
    <row r="23" ht="15" customHeight="1" s="58">
      <c r="A23" s="80" t="inlineStr">
        <is>
          <t>ЧИСТАЯ ПРИБЫЛЬ</t>
        </is>
      </c>
      <c r="B23" s="78">
        <f>B21+B22</f>
        <v/>
      </c>
      <c r="C23" s="78">
        <f>B23*12</f>
        <v/>
      </c>
      <c r="D23" s="81" t="n"/>
    </row>
    <row r="24" ht="15" customHeight="1" s="58">
      <c r="A24" s="64" t="inlineStr">
        <is>
          <t xml:space="preserve">  Чистая маржа</t>
        </is>
      </c>
      <c r="B24" s="88">
        <f>B23/B10</f>
        <v/>
      </c>
      <c r="C24" s="88">
        <f>B24*12</f>
        <v/>
      </c>
      <c r="D24" s="67" t="n"/>
    </row>
    <row r="26" ht="15" customHeight="1" s="58">
      <c r="A26" s="60" t="inlineStr">
        <is>
          <t>При базе 100 млн/мес проект уже прибыльный (~1,75 млн ₽/мес чистыми): объём выше точки безубыточности (≈50 млн/мес).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57" min="1" max="1"/>
    <col width="18" customWidth="1" style="57" min="2" max="3"/>
    <col width="36" customWidth="1" style="57" min="4" max="4"/>
  </cols>
  <sheetData>
    <row r="1" ht="17.25" customHeight="1" s="58">
      <c r="A1" s="59" t="inlineStr">
        <is>
          <t>ДВИЖЕНИЕ ДЕНЕЖНЫХ СРЕДСТВ (база, в месяц)</t>
        </is>
      </c>
    </row>
    <row r="2" ht="15" customHeight="1" s="58">
      <c r="A2" s="60" t="inlineStr">
        <is>
          <t>Маркетплейс не выдаёт займы из своих средств — деньги инвесторов идут напрямую заёмщику. На балансе платформы только комиссии.</t>
        </is>
      </c>
    </row>
    <row r="4" ht="15" customHeight="1" s="58">
      <c r="A4" s="61" t="inlineStr">
        <is>
          <t>Статья</t>
        </is>
      </c>
      <c r="B4" s="61" t="inlineStr">
        <is>
          <t>В месяц</t>
        </is>
      </c>
      <c r="C4" s="61" t="inlineStr">
        <is>
          <t>В год</t>
        </is>
      </c>
      <c r="D4" s="61" t="inlineStr">
        <is>
          <t>Комментарий</t>
        </is>
      </c>
    </row>
    <row r="5" ht="15" customHeight="1" s="58">
      <c r="A5" s="64" t="inlineStr">
        <is>
          <t>Чистая прибыль</t>
        </is>
      </c>
      <c r="B5" s="89">
        <f>'P&amp;L (база)'!B23</f>
        <v/>
      </c>
      <c r="C5" s="89">
        <f>B5*12</f>
        <v/>
      </c>
      <c r="D5" s="67" t="inlineStr">
        <is>
          <t>из P&amp;L</t>
        </is>
      </c>
    </row>
    <row r="6" ht="15" customHeight="1" s="58">
      <c r="A6" s="64" t="inlineStr">
        <is>
          <t>(+) Амортизация</t>
        </is>
      </c>
      <c r="B6" s="89">
        <f>-'P&amp;L (база)'!B20</f>
        <v/>
      </c>
      <c r="C6" s="89">
        <f>B6*12</f>
        <v/>
      </c>
      <c r="D6" s="67" t="inlineStr">
        <is>
          <t>неденежная</t>
        </is>
      </c>
    </row>
    <row r="7" ht="26.25" customHeight="1" s="58">
      <c r="A7" s="80" t="inlineStr">
        <is>
          <t>Операционный денежный поток (OCF)</t>
        </is>
      </c>
      <c r="B7" s="78">
        <f>B5+B6</f>
        <v/>
      </c>
      <c r="C7" s="78">
        <f>B7*12</f>
        <v/>
      </c>
      <c r="D7" s="81" t="n"/>
    </row>
    <row r="8" ht="15" customHeight="1" s="58">
      <c r="A8" s="64" t="inlineStr">
        <is>
          <t>CAPEX (инвестиции)</t>
        </is>
      </c>
      <c r="B8" s="90">
        <f>-100000</f>
        <v/>
      </c>
      <c r="C8" s="90">
        <f>B8*12</f>
        <v/>
      </c>
      <c r="D8" s="67" t="inlineStr">
        <is>
          <t>оборудование, развитие платформы</t>
        </is>
      </c>
    </row>
    <row r="9" ht="15" customHeight="1" s="58">
      <c r="A9" s="85" t="inlineStr">
        <is>
          <t>Свободный денежный поток (FCF)</t>
        </is>
      </c>
      <c r="B9" s="86">
        <f>B7+B8</f>
        <v/>
      </c>
      <c r="C9" s="86">
        <f>B9*12</f>
        <v/>
      </c>
      <c r="D9" s="87" t="n"/>
    </row>
    <row r="11" ht="15" customHeight="1" s="58">
      <c r="A11" s="60" t="inlineStr">
        <is>
          <t>Примечание: резервный фонд (0.5%) учитывается как расход в P&amp;L и формирует подушку на выкуп дефолтных займов.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57" min="1" max="1"/>
    <col width="16" customWidth="1" style="57" min="2" max="7"/>
  </cols>
  <sheetData>
    <row r="1" ht="17.25" customHeight="1" s="58">
      <c r="A1" s="59" t="inlineStr">
        <is>
          <t>ПРОГНОЗ ПО ОБЪЁМАМ СДЕЛОК (показатели в месяц, если не указано)</t>
        </is>
      </c>
    </row>
    <row r="3" ht="15" customHeight="1" s="58">
      <c r="A3" s="61" t="inlineStr">
        <is>
          <t>Показатель / Объём в мес</t>
        </is>
      </c>
      <c r="B3" s="61" t="inlineStr">
        <is>
          <t>100 млн</t>
        </is>
      </c>
      <c r="C3" s="61" t="inlineStr">
        <is>
          <t>300 млн</t>
        </is>
      </c>
      <c r="D3" s="61" t="inlineStr">
        <is>
          <t>500 млн</t>
        </is>
      </c>
      <c r="E3" s="61" t="inlineStr">
        <is>
          <t>1 млрд</t>
        </is>
      </c>
      <c r="F3" s="61" t="inlineStr">
        <is>
          <t>3 млрд</t>
        </is>
      </c>
      <c r="G3" s="61" t="inlineStr">
        <is>
          <t>5 млрд</t>
        </is>
      </c>
    </row>
    <row r="4" ht="15" customHeight="1" s="58">
      <c r="A4" s="64" t="inlineStr">
        <is>
          <t>Объём финансирования (₽)</t>
        </is>
      </c>
      <c r="B4" s="91" t="n">
        <v>100000000</v>
      </c>
      <c r="C4" s="91" t="n">
        <v>300000000</v>
      </c>
      <c r="D4" s="91" t="n">
        <v>500000000</v>
      </c>
      <c r="E4" s="91" t="n">
        <v>1000000000</v>
      </c>
      <c r="F4" s="91" t="n">
        <v>3000000000</v>
      </c>
      <c r="G4" s="91" t="n">
        <v>5000000000</v>
      </c>
    </row>
    <row r="5" ht="15" customHeight="1" s="58">
      <c r="A5" s="64" t="inlineStr">
        <is>
          <t>Кол-во сделок</t>
        </is>
      </c>
      <c r="B5" s="68">
        <f>B4/Допущения!B7</f>
        <v/>
      </c>
      <c r="C5" s="68">
        <f>C4/Допущения!B7</f>
        <v/>
      </c>
      <c r="D5" s="68">
        <f>D4/Допущения!B7</f>
        <v/>
      </c>
      <c r="E5" s="68">
        <f>E4/Допущения!B7</f>
        <v/>
      </c>
      <c r="F5" s="68">
        <f>F4/Допущения!B7</f>
        <v/>
      </c>
      <c r="G5" s="68">
        <f>G4/Допущения!B7</f>
        <v/>
      </c>
    </row>
    <row r="6" ht="15" customHeight="1" s="58">
      <c r="A6" s="64" t="inlineStr">
        <is>
          <t>Выручка (Revenue)</t>
        </is>
      </c>
      <c r="B6" s="92">
        <f>B4*Допущения!B15</f>
        <v/>
      </c>
      <c r="C6" s="92">
        <f>C4*Допущения!B15</f>
        <v/>
      </c>
      <c r="D6" s="92">
        <f>D4*Допущения!B15</f>
        <v/>
      </c>
      <c r="E6" s="92">
        <f>E4*Допущения!B15</f>
        <v/>
      </c>
      <c r="F6" s="92">
        <f>F4*Допущения!B15</f>
        <v/>
      </c>
      <c r="G6" s="92">
        <f>G4*Допущения!B15</f>
        <v/>
      </c>
    </row>
    <row r="7" ht="15" customHeight="1" s="58">
      <c r="A7" s="64" t="inlineStr">
        <is>
          <t>Переменные расходы</t>
        </is>
      </c>
      <c r="B7" s="92">
        <f>-B4*Допущения!B22</f>
        <v/>
      </c>
      <c r="C7" s="92">
        <f>-C4*Допущения!B22</f>
        <v/>
      </c>
      <c r="D7" s="92">
        <f>-D4*Допущения!B22</f>
        <v/>
      </c>
      <c r="E7" s="92">
        <f>-E4*Допущения!B22</f>
        <v/>
      </c>
      <c r="F7" s="92">
        <f>-F4*Допущения!B22</f>
        <v/>
      </c>
      <c r="G7" s="92">
        <f>-G4*Допущения!B22</f>
        <v/>
      </c>
    </row>
    <row r="8" ht="15" customHeight="1" s="58">
      <c r="A8" s="93" t="inlineStr">
        <is>
          <t>Маржа вклада</t>
        </is>
      </c>
      <c r="B8" s="94">
        <f>B6+B7</f>
        <v/>
      </c>
      <c r="C8" s="94">
        <f>C6+C7</f>
        <v/>
      </c>
      <c r="D8" s="94">
        <f>D6+D7</f>
        <v/>
      </c>
      <c r="E8" s="94">
        <f>E6+E7</f>
        <v/>
      </c>
      <c r="F8" s="94">
        <f>F6+F7</f>
        <v/>
      </c>
      <c r="G8" s="94">
        <f>G6+G7</f>
        <v/>
      </c>
    </row>
    <row r="9" ht="15" customHeight="1" s="58">
      <c r="A9" s="95" t="inlineStr">
        <is>
          <t>Постоянные расходы (OpEx)</t>
        </is>
      </c>
      <c r="B9" s="65" t="n">
        <v>-2400000</v>
      </c>
      <c r="C9" s="65" t="n">
        <v>-3400000</v>
      </c>
      <c r="D9" s="65" t="n">
        <v>-4400000</v>
      </c>
      <c r="E9" s="65" t="n">
        <v>-6500000</v>
      </c>
      <c r="F9" s="65" t="n">
        <v>-12000000</v>
      </c>
      <c r="G9" s="65" t="n">
        <v>-18000000</v>
      </c>
    </row>
    <row r="10" ht="15" customHeight="1" s="58">
      <c r="A10" s="80" t="inlineStr">
        <is>
          <t>EBITDA</t>
        </is>
      </c>
      <c r="B10" s="96">
        <f>B8+B9</f>
        <v/>
      </c>
      <c r="C10" s="96">
        <f>C8+C9</f>
        <v/>
      </c>
      <c r="D10" s="96">
        <f>D8+D9</f>
        <v/>
      </c>
      <c r="E10" s="96">
        <f>E8+E9</f>
        <v/>
      </c>
      <c r="F10" s="96">
        <f>F8+F9</f>
        <v/>
      </c>
      <c r="G10" s="96">
        <f>G8+G9</f>
        <v/>
      </c>
    </row>
    <row r="11" ht="15" customHeight="1" s="58">
      <c r="A11" s="64" t="inlineStr">
        <is>
          <t>Рентабельность EBITDA</t>
        </is>
      </c>
      <c r="B11" s="88">
        <f>B10/B6</f>
        <v/>
      </c>
      <c r="C11" s="88">
        <f>C10/C6</f>
        <v/>
      </c>
      <c r="D11" s="88">
        <f>D10/D6</f>
        <v/>
      </c>
      <c r="E11" s="88">
        <f>E10/E6</f>
        <v/>
      </c>
      <c r="F11" s="88">
        <f>F10/F6</f>
        <v/>
      </c>
      <c r="G11" s="88">
        <f>G10/G6</f>
        <v/>
      </c>
    </row>
    <row r="12" ht="15" customHeight="1" s="58">
      <c r="A12" s="64" t="inlineStr">
        <is>
          <t>Налог на прибыль (25%)</t>
        </is>
      </c>
      <c r="B12" s="92">
        <f>-MAX(0,B10)*Допущения!B33</f>
        <v/>
      </c>
      <c r="C12" s="92">
        <f>-MAX(0,C10)*Допущения!B33</f>
        <v/>
      </c>
      <c r="D12" s="92">
        <f>-MAX(0,D10)*Допущения!B33</f>
        <v/>
      </c>
      <c r="E12" s="92">
        <f>-MAX(0,E10)*Допущения!B33</f>
        <v/>
      </c>
      <c r="F12" s="92">
        <f>-MAX(0,F10)*Допущения!B33</f>
        <v/>
      </c>
      <c r="G12" s="92">
        <f>-MAX(0,G10)*Допущения!B33</f>
        <v/>
      </c>
    </row>
    <row r="13" ht="15" customHeight="1" s="58">
      <c r="A13" s="80" t="inlineStr">
        <is>
          <t>Чистая прибыль (мес)</t>
        </is>
      </c>
      <c r="B13" s="96">
        <f>B10+B12</f>
        <v/>
      </c>
      <c r="C13" s="96">
        <f>C10+C12</f>
        <v/>
      </c>
      <c r="D13" s="96">
        <f>D10+D12</f>
        <v/>
      </c>
      <c r="E13" s="96">
        <f>E10+E12</f>
        <v/>
      </c>
      <c r="F13" s="96">
        <f>F10+F12</f>
        <v/>
      </c>
      <c r="G13" s="96">
        <f>G10+G12</f>
        <v/>
      </c>
    </row>
    <row r="14" ht="15" customHeight="1" s="58">
      <c r="A14" s="64" t="inlineStr">
        <is>
          <t>Чистая маржа</t>
        </is>
      </c>
      <c r="B14" s="88">
        <f>B13/B6</f>
        <v/>
      </c>
      <c r="C14" s="88">
        <f>C13/C6</f>
        <v/>
      </c>
      <c r="D14" s="88">
        <f>D13/D6</f>
        <v/>
      </c>
      <c r="E14" s="88">
        <f>E13/E6</f>
        <v/>
      </c>
      <c r="F14" s="88">
        <f>F13/F6</f>
        <v/>
      </c>
      <c r="G14" s="88">
        <f>G13/G6</f>
        <v/>
      </c>
    </row>
    <row r="15" ht="15" customHeight="1" s="58">
      <c r="A15" s="97" t="inlineStr">
        <is>
          <t>Чистая прибыль (год)</t>
        </is>
      </c>
      <c r="B15" s="98">
        <f>B13*12</f>
        <v/>
      </c>
      <c r="C15" s="98">
        <f>C13*12</f>
        <v/>
      </c>
      <c r="D15" s="98">
        <f>D13*12</f>
        <v/>
      </c>
      <c r="E15" s="98">
        <f>E13*12</f>
        <v/>
      </c>
      <c r="F15" s="98">
        <f>F13*12</f>
        <v/>
      </c>
      <c r="G15" s="98">
        <f>G13*12</f>
        <v/>
      </c>
    </row>
    <row r="16" ht="15" customHeight="1" s="58">
      <c r="A16" s="97" t="inlineStr">
        <is>
          <t>EBITDA (год)</t>
        </is>
      </c>
      <c r="B16" s="98">
        <f>B10*12</f>
        <v/>
      </c>
      <c r="C16" s="98">
        <f>C10*12</f>
        <v/>
      </c>
      <c r="D16" s="98">
        <f>D10*12</f>
        <v/>
      </c>
      <c r="E16" s="98">
        <f>E10*12</f>
        <v/>
      </c>
      <c r="F16" s="98">
        <f>F10*12</f>
        <v/>
      </c>
      <c r="G16" s="98">
        <f>G10*12</f>
        <v/>
      </c>
    </row>
    <row r="17" ht="15" customHeight="1" s="58">
      <c r="A17" s="97" t="inlineStr">
        <is>
          <t>Выручка (год)</t>
        </is>
      </c>
      <c r="B17" s="98">
        <f>B6*12</f>
        <v/>
      </c>
      <c r="C17" s="98">
        <f>C6*12</f>
        <v/>
      </c>
      <c r="D17" s="98">
        <f>D6*12</f>
        <v/>
      </c>
      <c r="E17" s="98">
        <f>E6*12</f>
        <v/>
      </c>
      <c r="F17" s="98">
        <f>F6*12</f>
        <v/>
      </c>
      <c r="G17" s="98">
        <f>G6*12</f>
        <v/>
      </c>
    </row>
    <row r="19" ht="15" customHeight="1" s="58">
      <c r="A19" s="60" t="inlineStr">
        <is>
          <t>Постоянные расходы растут МЕДЛЕННО благодаря ИИ-автоматизации: ИИ обрабатывает кратно больше сделок без линейного найма. Люди добавляются в основном на стоп-факторы и сложную юр.экспертизу.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57" min="1" max="1"/>
    <col width="20" customWidth="1" style="57" min="2" max="2"/>
    <col width="46" customWidth="1" style="57" min="3" max="3"/>
  </cols>
  <sheetData>
    <row r="1" ht="17.25" customHeight="1" s="58">
      <c r="A1" s="59" t="inlineStr">
        <is>
          <t>ТОЧКА БЕЗУБЫТОЧНОСТИ И ВЫХОД В ПЛЮС</t>
        </is>
      </c>
    </row>
    <row r="4" ht="15" customHeight="1" s="58">
      <c r="A4" s="61" t="inlineStr">
        <is>
          <t>Показатель</t>
        </is>
      </c>
      <c r="B4" s="61" t="inlineStr">
        <is>
          <t>Значение</t>
        </is>
      </c>
      <c r="C4" s="61" t="inlineStr">
        <is>
          <t>Формула / комментарий</t>
        </is>
      </c>
    </row>
    <row r="5" ht="15" customHeight="1" s="58">
      <c r="A5" s="64" t="inlineStr">
        <is>
          <t>Маржа вклада (% от объёма)</t>
        </is>
      </c>
      <c r="B5" s="79">
        <f>Допущения!B23</f>
        <v/>
      </c>
      <c r="C5" s="67" t="inlineStr">
        <is>
          <t>take rate − переменные</t>
        </is>
      </c>
    </row>
    <row r="6" ht="15" customHeight="1" s="58">
      <c r="A6" s="64" t="inlineStr">
        <is>
          <t>Постоянные расходы (база/мес)</t>
        </is>
      </c>
      <c r="B6" s="77">
        <f>Допущения!B30</f>
        <v/>
      </c>
      <c r="C6" s="67" t="n"/>
    </row>
    <row r="7" ht="15" customHeight="1" s="58">
      <c r="A7" s="85" t="inlineStr">
        <is>
          <t>Точка безубыточности — объём/мес</t>
        </is>
      </c>
      <c r="B7" s="86">
        <f>B6/B5</f>
        <v/>
      </c>
      <c r="C7" s="87" t="inlineStr">
        <is>
          <t>Постоянные / маржа вклада</t>
        </is>
      </c>
    </row>
    <row r="8" ht="15" customHeight="1" s="58">
      <c r="A8" s="64" t="inlineStr">
        <is>
          <t>Точка безубыточности — сделок/мес</t>
        </is>
      </c>
      <c r="B8" s="99">
        <f>B7/Допущения!B7</f>
        <v/>
      </c>
      <c r="C8" s="67" t="inlineStr">
        <is>
          <t>Объём ББ / средний чек</t>
        </is>
      </c>
    </row>
    <row r="9" ht="15" customHeight="1" s="58">
      <c r="A9" s="64" t="inlineStr">
        <is>
          <t>Точка безубыточности — объём/год</t>
        </is>
      </c>
      <c r="B9" s="77">
        <f>B7*12</f>
        <v/>
      </c>
      <c r="C9" s="67" t="n"/>
    </row>
    <row r="11" ht="15" customHeight="1" s="58">
      <c r="A11" s="62" t="inlineStr">
        <is>
          <t>МИНИМАЛЬНЫЙ ОБЪЁМ ДЛЯ ВЫХОДА В ПЛЮС</t>
        </is>
      </c>
      <c r="B11" s="63" t="n"/>
      <c r="C11" s="63" t="n"/>
    </row>
    <row r="12" ht="15" customHeight="1" s="58">
      <c r="A12" s="80" t="inlineStr">
        <is>
          <t>Минимальный объём (= точка ББ)</t>
        </is>
      </c>
      <c r="B12" s="78">
        <f>B7</f>
        <v/>
      </c>
      <c r="C12" s="81" t="inlineStr">
        <is>
          <t>ниже — убыток, выше — прибыль</t>
        </is>
      </c>
    </row>
    <row r="13" ht="15" customHeight="1" s="58">
      <c r="A13" s="64" t="inlineStr">
        <is>
          <t>Запас прочности при объёме 300 млн</t>
        </is>
      </c>
      <c r="B13" s="88">
        <f>(300000000-B7)/300000000</f>
        <v/>
      </c>
      <c r="C13" s="67" t="inlineStr">
        <is>
          <t>margin of safety</t>
        </is>
      </c>
    </row>
    <row r="15" ht="15" customHeight="1" s="58">
      <c r="A15" s="100" t="inlineStr">
        <is>
          <t>Чувствительность точки ББ к take rate:</t>
        </is>
      </c>
    </row>
    <row r="16" ht="26.25" customHeight="1" s="58">
      <c r="A16" s="61" t="inlineStr">
        <is>
          <t>Take rate</t>
        </is>
      </c>
      <c r="B16" s="61" t="inlineStr">
        <is>
          <t>Точка ББ (объём/мес)</t>
        </is>
      </c>
      <c r="C16" s="61" t="inlineStr">
        <is>
          <t>Комментарий</t>
        </is>
      </c>
    </row>
    <row r="17" ht="15" customHeight="1" s="58">
      <c r="A17" s="101" t="n">
        <v>0.04</v>
      </c>
      <c r="B17" s="92">
        <f>B6/(A17-Допущения!B22)</f>
        <v/>
      </c>
      <c r="C17" s="67" t="inlineStr">
        <is>
          <t>при базовых переменных расходах</t>
        </is>
      </c>
    </row>
    <row r="18" ht="15" customHeight="1" s="58">
      <c r="A18" s="101" t="n">
        <v>0.05</v>
      </c>
      <c r="B18" s="92">
        <f>B6/(A18-Допущения!B22)</f>
        <v/>
      </c>
      <c r="C18" s="67" t="inlineStr">
        <is>
          <t>при базовых переменных расходах</t>
        </is>
      </c>
    </row>
    <row r="19" ht="15" customHeight="1" s="58">
      <c r="A19" s="101" t="n">
        <v>0.055</v>
      </c>
      <c r="B19" s="92">
        <f>B6/(A19-Допущения!B22)</f>
        <v/>
      </c>
      <c r="C19" s="67" t="inlineStr">
        <is>
          <t>при базовых переменных расходах</t>
        </is>
      </c>
    </row>
    <row r="20" ht="15" customHeight="1" s="58">
      <c r="A20" s="101" t="n">
        <v>0.06</v>
      </c>
      <c r="B20" s="92">
        <f>B6/(A20-Допущения!B22)</f>
        <v/>
      </c>
      <c r="C20" s="67" t="inlineStr">
        <is>
          <t>при базовых переменных расходах</t>
        </is>
      </c>
    </row>
    <row r="21" ht="15" customHeight="1" s="58">
      <c r="A21" s="101" t="n">
        <v>0.07000000000000001</v>
      </c>
      <c r="B21" s="92">
        <f>B6/(A21-Допущения!B22)</f>
        <v/>
      </c>
      <c r="C21" s="67" t="inlineStr">
        <is>
          <t>при базовых переменных расходах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57" min="1" max="1"/>
    <col width="18" customWidth="1" style="57" min="2" max="4"/>
    <col width="34" customWidth="1" style="57" min="5" max="5"/>
  </cols>
  <sheetData>
    <row r="1" ht="17.25" customHeight="1" s="58">
      <c r="A1" s="59" t="inlineStr">
        <is>
          <t>ОЦЕНКА КАПИТАЛИЗАЦИИ (3 / 5 / 10 лет)</t>
        </is>
      </c>
    </row>
    <row r="2" ht="15" customHeight="1" s="58">
      <c r="A2" s="60" t="inlineStr">
        <is>
          <t>Сценарий роста: год 3 ≈ 1 млрд/мес, год 5 ≈ 3 млрд/мес, год 10 ≈ 5 млрд/мес.</t>
        </is>
      </c>
    </row>
    <row r="4" ht="15" customHeight="1" s="58">
      <c r="A4" s="61" t="inlineStr">
        <is>
          <t>Показатель</t>
        </is>
      </c>
      <c r="B4" s="61" t="inlineStr">
        <is>
          <t>Год 3</t>
        </is>
      </c>
      <c r="C4" s="61" t="inlineStr">
        <is>
          <t>Год 5</t>
        </is>
      </c>
      <c r="D4" s="61" t="inlineStr">
        <is>
          <t>Год 10</t>
        </is>
      </c>
      <c r="E4" s="61" t="inlineStr">
        <is>
          <t>Комментарий</t>
        </is>
      </c>
    </row>
    <row r="5" ht="15" customHeight="1" s="58">
      <c r="A5" s="64" t="inlineStr">
        <is>
          <t>Объём финансирования/мес</t>
        </is>
      </c>
      <c r="B5" s="102">
        <f>'Прогноз по объёмам'!E4</f>
        <v/>
      </c>
      <c r="C5" s="102">
        <f>'Прогноз по объёмам'!F4</f>
        <v/>
      </c>
      <c r="D5" s="102">
        <f>'Прогноз по объёмам'!G4</f>
        <v/>
      </c>
      <c r="E5" s="67" t="inlineStr">
        <is>
          <t>из листа прогноза</t>
        </is>
      </c>
    </row>
    <row r="6" ht="15" customHeight="1" s="58">
      <c r="A6" s="64" t="inlineStr">
        <is>
          <t>Выручка (год)</t>
        </is>
      </c>
      <c r="B6" s="102">
        <f>'Прогноз по объёмам'!E17</f>
        <v/>
      </c>
      <c r="C6" s="102">
        <f>'Прогноз по объёмам'!F17</f>
        <v/>
      </c>
      <c r="D6" s="102">
        <f>'Прогноз по объёмам'!G17</f>
        <v/>
      </c>
      <c r="E6" s="103" t="n"/>
    </row>
    <row r="7" ht="15" customHeight="1" s="58">
      <c r="A7" s="64" t="inlineStr">
        <is>
          <t>EBITDA (год)</t>
        </is>
      </c>
      <c r="B7" s="102">
        <f>'Прогноз по объёмам'!E16</f>
        <v/>
      </c>
      <c r="C7" s="102">
        <f>'Прогноз по объёмам'!F16</f>
        <v/>
      </c>
      <c r="D7" s="102">
        <f>'Прогноз по объёмам'!G16</f>
        <v/>
      </c>
    </row>
    <row r="8" ht="15" customHeight="1" s="58">
      <c r="A8" s="64" t="inlineStr">
        <is>
          <t>Чистая прибыль (год)</t>
        </is>
      </c>
      <c r="B8" s="102">
        <f>'Прогноз по объёмам'!E15</f>
        <v/>
      </c>
      <c r="C8" s="102">
        <f>'Прогноз по объёмам'!F15</f>
        <v/>
      </c>
      <c r="D8" s="102">
        <f>'Прогноз по объёмам'!G15</f>
        <v/>
      </c>
    </row>
    <row r="10" ht="15" customHeight="1" s="58">
      <c r="A10" s="62" t="inlineStr">
        <is>
          <t>МЕТОДЫ ОЦЕНКИ</t>
        </is>
      </c>
      <c r="B10" s="63" t="n"/>
      <c r="C10" s="63" t="n"/>
      <c r="D10" s="63" t="n"/>
      <c r="E10" s="63" t="n"/>
    </row>
    <row r="11" ht="15" customHeight="1" s="58">
      <c r="A11" s="64" t="inlineStr">
        <is>
          <t>1) EV/EBITDA (×10)</t>
        </is>
      </c>
      <c r="B11" s="92">
        <f>B7*Допущения!B36</f>
        <v/>
      </c>
      <c r="C11" s="92">
        <f>C7*Допущения!B36</f>
        <v/>
      </c>
      <c r="D11" s="92">
        <f>D7*Допущения!B36</f>
        <v/>
      </c>
    </row>
    <row r="12" ht="15" customHeight="1" s="58">
      <c r="A12" s="64" t="inlineStr">
        <is>
          <t>2) EV/Revenue (×4)</t>
        </is>
      </c>
      <c r="B12" s="92">
        <f>B6*Допущения!B37</f>
        <v/>
      </c>
      <c r="C12" s="92">
        <f>C6*Допущения!B37</f>
        <v/>
      </c>
      <c r="D12" s="92">
        <f>D6*Допущения!B37</f>
        <v/>
      </c>
    </row>
    <row r="13" ht="21.75" customHeight="1" s="58">
      <c r="A13" s="64" t="inlineStr">
        <is>
          <t>3) DCF (приведённая стоимость)</t>
        </is>
      </c>
      <c r="B13" s="104">
        <f>B8*(1+Допущения!B39)/(Допущения!B38-Допущения!B39)</f>
        <v/>
      </c>
      <c r="C13" s="104">
        <f>C8*(1+Допущения!B39)/(Допущения!B38-Допущения!B39)</f>
        <v/>
      </c>
      <c r="D13" s="104">
        <f>D8*(1+Допущения!B39)/(Допущения!B38-Допущения!B39)</f>
        <v/>
      </c>
      <c r="E13" s="67" t="inlineStr">
        <is>
          <t>FCF≈ЧП, тек. стоимость + терминал, дисконт WACC</t>
        </is>
      </c>
    </row>
    <row r="14" ht="15" customHeight="1" s="58">
      <c r="A14" s="105" t="inlineStr">
        <is>
          <t>СРЕДНЯЯ ОЦЕНКА (капитализация)</t>
        </is>
      </c>
      <c r="B14" s="96">
        <f>AVERAGE(B11,B12,B13)</f>
        <v/>
      </c>
      <c r="C14" s="96">
        <f>AVERAGE(C11,C12,C13)</f>
        <v/>
      </c>
      <c r="D14" s="96">
        <f>AVERAGE(D11,D12,D13)</f>
        <v/>
      </c>
      <c r="E14" s="106" t="inlineStr">
        <is>
          <t>среднее трёх методов</t>
        </is>
      </c>
    </row>
    <row r="16" ht="15" customHeight="1" s="58">
      <c r="A16" s="60" t="inlineStr">
        <is>
          <t>DCF (perpetuity Гордона) даёт устойчивую оценку при высокой марже; мультипликаторы — рыночный ориентир.</t>
        </is>
      </c>
    </row>
    <row r="17" ht="15" customHeight="1" s="58">
      <c r="A17" s="60" t="inlineStr">
        <is>
          <t>Все оценки — Enterprise Value без учёта долга/кэша. Для венчура применяйте дисконт за ликвидность/риск 30–50%.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57" min="1" max="1"/>
    <col width="22" customWidth="1" style="57" min="2" max="2"/>
    <col width="34" customWidth="1" style="57" min="3" max="4"/>
    <col width="40" customWidth="1" style="57" min="5" max="5"/>
  </cols>
  <sheetData>
    <row r="1" ht="17.25" customHeight="1" s="58">
      <c r="A1" s="59" t="inlineStr">
        <is>
          <t>СРАВНЕНИЕ С МИРОВЫМИ P2P/МАРКЕТПЛЕЙСАМИ</t>
        </is>
      </c>
    </row>
    <row r="3" ht="15" customHeight="1" s="58">
      <c r="A3" s="61" t="inlineStr">
        <is>
          <t>Платформа</t>
        </is>
      </c>
      <c r="B3" s="61" t="inlineStr">
        <is>
          <t>Модель</t>
        </is>
      </c>
      <c r="C3" s="61" t="inlineStr">
        <is>
          <t>Сильные стороны</t>
        </is>
      </c>
      <c r="D3" s="61" t="inlineStr">
        <is>
          <t>Слабые стороны</t>
        </is>
      </c>
      <c r="E3" s="61" t="inlineStr">
        <is>
          <t>Что внедрить в России</t>
        </is>
      </c>
    </row>
    <row r="4" ht="69.75" customHeight="1" s="58">
      <c r="A4" s="107" t="inlineStr">
        <is>
          <t>LendingClub</t>
        </is>
      </c>
      <c r="B4" s="108" t="inlineStr">
        <is>
          <t>P2P потреб. кредиты (США), позже банк</t>
        </is>
      </c>
      <c r="C4" s="108" t="inlineStr">
        <is>
          <t>Огромный масштаб, бренд, скоринг на данных, секьюритизация</t>
        </is>
      </c>
      <c r="D4" s="108" t="inlineStr">
        <is>
          <t>Ушли от чистого P2P к банку; высокие costs; регуляторное давление</t>
        </is>
      </c>
      <c r="E4" s="108" t="inlineStr">
        <is>
          <t>Сильный ИИ-скоринг и автоматизация андеррайтинга; прозрачные рейтинги заёмщиков</t>
        </is>
      </c>
    </row>
    <row r="5" ht="69.75" customHeight="1" s="58">
      <c r="A5" s="107" t="inlineStr">
        <is>
          <t>Prosper</t>
        </is>
      </c>
      <c r="B5" s="108" t="inlineStr">
        <is>
          <t>P2P потреб. кредиты (США), пионер</t>
        </is>
      </c>
      <c r="C5" s="108" t="inlineStr">
        <is>
          <t>Первый P2P в США, отлаженный риск-менеджмент, вторичный рынок</t>
        </is>
      </c>
      <c r="D5" s="108" t="inlineStr">
        <is>
          <t>Дефолты в кризисы, зависимость от институционалов</t>
        </is>
      </c>
      <c r="E5" s="108" t="inlineStr">
        <is>
          <t>Вторичный рынок переуступки долей инвесторов для ликвидности</t>
        </is>
      </c>
    </row>
    <row r="6" ht="69.75" customHeight="1" s="58">
      <c r="A6" s="107" t="inlineStr">
        <is>
          <t>Groundfloor</t>
        </is>
      </c>
      <c r="B6" s="108" t="inlineStr">
        <is>
          <t>Краудинвест в недвижимость под залог (США)</t>
        </is>
      </c>
      <c r="C6" s="108" t="inlineStr">
        <is>
          <t>Залог недвижимости, низкий порог входа ($10), короткие сроки</t>
        </is>
      </c>
      <c r="D6" s="108" t="inlineStr">
        <is>
          <t>Концентрация на одном классе активов, риск рынка недвижимости</t>
        </is>
      </c>
      <c r="E6" s="108" t="inlineStr">
        <is>
          <t>Залоговая модель с низким порогом + краткосрочные займы под ремонт/флиппинг</t>
        </is>
      </c>
    </row>
    <row r="7" ht="69.75" customHeight="1" s="58">
      <c r="A7" s="107" t="inlineStr">
        <is>
          <t>EstateGuru</t>
        </is>
      </c>
      <c r="B7" s="108" t="inlineStr">
        <is>
          <t>Залоговые займы под недвижимость (Европа)</t>
        </is>
      </c>
      <c r="C7" s="108" t="inlineStr">
        <is>
          <t>Залог недвижимости 1-й очереди, трансгранично, LTV-дисциплина</t>
        </is>
      </c>
      <c r="D7" s="108" t="inlineStr">
        <is>
          <t>Рост дефолтов 2022–23, взыскание залога медленное</t>
        </is>
      </c>
      <c r="E7" s="108" t="inlineStr">
        <is>
          <t>Жёсткий LTV (≤70%), залог 1-й очереди, прозрачная статистика взысканий</t>
        </is>
      </c>
    </row>
    <row r="8" ht="69.75" customHeight="1" s="58">
      <c r="A8" s="107" t="inlineStr">
        <is>
          <t>Mintos</t>
        </is>
      </c>
      <c r="B8" s="108" t="inlineStr">
        <is>
          <t>Маркетплейс займов от кредиторов (Европа)</t>
        </is>
      </c>
      <c r="C8" s="108" t="inlineStr">
        <is>
          <t>Агрегатор от десятков ориджинаторов, авто-инвест, buyback</t>
        </is>
      </c>
      <c r="D8" s="108" t="inlineStr">
        <is>
          <t>Риск ориджинатора (банкротства), сложность для новичка</t>
        </is>
      </c>
      <c r="E8" s="108" t="inlineStr">
        <is>
          <t>Авто-инвестирование, диверсификация, buyback-гарантия как стандарт доверия</t>
        </is>
      </c>
    </row>
    <row r="9" ht="69.75" customHeight="1" s="58">
      <c r="A9" s="107" t="inlineStr">
        <is>
          <t>PeerBerry</t>
        </is>
      </c>
      <c r="B9" s="108" t="inlineStr">
        <is>
          <t>Маркетплейс потреб./залог займов (Европа)</t>
        </is>
      </c>
      <c r="C9" s="108" t="inlineStr">
        <is>
          <t>Простой UX, buyback, группа гарантий, высокая доходность</t>
        </is>
      </c>
      <c r="D9" s="108" t="inlineStr">
        <is>
          <t>Высокий риск групп-гарантий, мелкие займы, геориски</t>
        </is>
      </c>
      <c r="E9" s="108" t="inlineStr">
        <is>
          <t>Удобный мобильный UX + групповые гарантии для удержания инвесторов</t>
        </is>
      </c>
    </row>
    <row r="11" ht="15" customHeight="1" s="58">
      <c r="A11" s="60" t="inlineStr">
        <is>
          <t>Вывод: для РФ оптимален гибрид EstateGuru (залог недвижимости, LTV-дисциплина) + Mintos/PeerBerry (buyback, авто-инвест, UX) + LendingClub (ИИ-скоринг).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1:C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57" min="1" max="1"/>
    <col width="70" customWidth="1" style="57" min="2" max="2"/>
    <col width="30" customWidth="1" style="57" min="3" max="3"/>
  </cols>
  <sheetData>
    <row r="1" ht="17.25" customHeight="1" s="58">
      <c r="B1" s="59" t="inlineStr">
        <is>
          <t>ИНВЕСТИЦИОННЫЙ ВЕРДИКТ</t>
        </is>
      </c>
    </row>
    <row r="3" ht="15" customHeight="1" s="58">
      <c r="B3" s="62" t="inlineStr">
        <is>
          <t>РЕЗЮМЕ ПРОЕКТА</t>
        </is>
      </c>
      <c r="C3" s="63" t="n"/>
    </row>
    <row r="4" ht="75" customHeight="1" s="58">
      <c r="B4" s="109" t="inlineStr">
        <is>
          <t>Маркетплейс залогового финансирования, соединяющий частных инвесторов и заёмщиков напрямую. Доход — комиссии с обеих сторон (take rate ~5.5% от объёма) + платные сервисы. Риск дефолта несёт инвестор; платформа держит резервный/buyback фонд.</t>
        </is>
      </c>
    </row>
    <row r="5" ht="60" customHeight="1" s="58">
      <c r="B5" s="109" t="inlineStr">
        <is>
          <t>Средний чек 2.5 млн ₽; при 100 млн/мес — 40 сделок. Точка безубыточности ≈ 50 млн ₽/мес (~20 сделок). Модель высокомаржинальна: EBITDA-маржа растёт с 37% (100 млн) до ~60–68% на масштабе.</t>
        </is>
      </c>
    </row>
    <row r="6" ht="15" customHeight="1" s="58">
      <c r="B6" s="62" t="inlineStr">
        <is>
          <t>ЖИЗНЕСПОСОБНОСТЬ МОДЕЛИ: 7 / 10</t>
        </is>
      </c>
      <c r="C6" s="63" t="n"/>
    </row>
    <row r="7" ht="60" customHeight="1" s="58">
      <c r="B7" s="109" t="inlineStr">
        <is>
          <t>Сильная юнит-экономика и эффект масштаба, но критична зависимость от качества скоринга, ликвидности залогов и регулирования. При объёмах от 1 млрд/мес — привлекательный актив.</t>
        </is>
      </c>
    </row>
    <row r="8" ht="15" customHeight="1" s="58">
      <c r="B8" s="62" t="inlineStr">
        <is>
          <t>5 ФАКТОРОВ ПРОВАЛА</t>
        </is>
      </c>
      <c r="C8" s="63" t="n"/>
    </row>
    <row r="9" ht="30" customHeight="1" s="58">
      <c r="B9" s="109" t="inlineStr">
        <is>
          <t>1. Рост дефолтов и медленное взыскание залога → отток инвесторов.</t>
        </is>
      </c>
    </row>
    <row r="10" ht="30" customHeight="1" s="58">
      <c r="B10" s="109" t="inlineStr">
        <is>
          <t>2. Регуляторные ограничения ЦБ РФ на P2P/краудлендинг и статус платформы.</t>
        </is>
      </c>
    </row>
    <row r="11" ht="30" customHeight="1" s="58">
      <c r="B11" s="109" t="inlineStr">
        <is>
          <t>3. Недостаток инвесторов (одна сторона маркетплейса) → простой капитала.</t>
        </is>
      </c>
    </row>
    <row r="12" ht="30" customHeight="1" s="58">
      <c r="B12" s="109" t="inlineStr">
        <is>
          <t>4. Мошенничество с залогами / ошибки оценки → прямые потери и репутация.</t>
        </is>
      </c>
    </row>
    <row r="13" ht="30" customHeight="1" s="58">
      <c r="B13" s="109" t="inlineStr">
        <is>
          <t>5. Высокий CAC обеих сторон → невыход на точку безубыточности.</t>
        </is>
      </c>
    </row>
    <row r="14" ht="15" customHeight="1" s="58">
      <c r="B14" s="62" t="inlineStr">
        <is>
          <t>5 ФАКТОРОВ ЛИДЕРСТВА</t>
        </is>
      </c>
      <c r="C14" s="63" t="n"/>
    </row>
    <row r="15" ht="30" customHeight="1" s="58">
      <c r="B15" s="109" t="inlineStr">
        <is>
          <t>1. Точный ИИ-скоринг + быстрая автоматизированная проверка залога.</t>
        </is>
      </c>
    </row>
    <row r="16" ht="30" customHeight="1" s="58">
      <c r="B16" s="109" t="inlineStr">
        <is>
          <t>2. Buyback/резервный фонд и прозрачная статистика → доверие инвесторов.</t>
        </is>
      </c>
    </row>
    <row r="17" ht="30" customHeight="1" s="58">
      <c r="B17" s="109" t="inlineStr">
        <is>
          <t>3. Дисциплина LTV ≤ 70% и залог 1-й очереди → низкие потери.</t>
        </is>
      </c>
    </row>
    <row r="18" ht="15" customHeight="1" s="58">
      <c r="B18" s="109" t="inlineStr">
        <is>
          <t>4. Вторичный рынок долей → ликвидность для инвесторов.</t>
        </is>
      </c>
    </row>
    <row r="19" ht="30" customHeight="1" s="58">
      <c r="B19" s="109" t="inlineStr">
        <is>
          <t>5. Сильный UX и авто-инвестирование → удержание и рост LTV инвестора.</t>
        </is>
      </c>
    </row>
    <row r="20" ht="15" customHeight="1" s="58">
      <c r="B20" s="62" t="inlineStr">
        <is>
          <t>ОБЪЁМ ДЛЯ ДОХОДА ОСНОВАТЕЛЯ 3 МЛН ₽/МЕС ЧИСТЫМИ</t>
        </is>
      </c>
      <c r="C20" s="63" t="n"/>
    </row>
    <row r="21" ht="30" customHeight="1" s="58">
      <c r="B21" s="109" t="inlineStr">
        <is>
          <t>Чтобы основатель (100% доли) получал 3 млн ₽/мес после налогов и дивидендного НДФЛ (13%):</t>
        </is>
      </c>
    </row>
    <row r="22" ht="15" customHeight="1" s="58">
      <c r="B22" s="64" t="inlineStr">
        <is>
          <t>Требуемые дивиденды (до НДФЛ)/мес</t>
        </is>
      </c>
      <c r="C22" s="92">
        <f>3000000/(1-Допущения!B34)</f>
        <v/>
      </c>
    </row>
    <row r="23" ht="15" customHeight="1" s="58">
      <c r="B23" s="64" t="inlineStr">
        <is>
          <t>Требуемая чистая прибыль компании/год</t>
        </is>
      </c>
      <c r="C23" s="92">
        <f>C22*12</f>
        <v/>
      </c>
    </row>
    <row r="24" ht="15" customHeight="1" s="58">
      <c r="B24" s="64" t="inlineStr">
        <is>
          <t>Требуемая EBITDA/год (÷0.75)</t>
        </is>
      </c>
      <c r="C24" s="92">
        <f>C23/(1-Допущения!B33)</f>
        <v/>
      </c>
    </row>
    <row r="25" ht="15" customHeight="1" s="58">
      <c r="B25" s="80" t="inlineStr">
        <is>
          <t>≈ Необходимый объём финансирования/мес</t>
        </is>
      </c>
      <c r="C25" s="96">
        <f>(C24/12+Допущения!B30)/Допущения!B23</f>
        <v/>
      </c>
    </row>
    <row r="26" ht="15" customHeight="1" s="58">
      <c r="B26" s="60" t="inlineStr">
        <is>
          <t>Вывод: ориентир ≈ 150 млн ₽/мес (~60 сделок). Чистая прибыль компании ~3,5 млн ₽/мес → после НДФЛ 13% даёт основателю ~3 млн ₽/мес. На бОльших объёмах — кратный запас.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57" min="1" max="1"/>
    <col width="16" customWidth="1" style="57" min="2" max="5"/>
  </cols>
  <sheetData>
    <row r="1" ht="17.25" customHeight="1" s="58">
      <c r="A1" s="59" t="inlineStr">
        <is>
          <t>ЦЕЛЬ: +1 МЛН ₽ ЧИСТОЙ ПРИБЫЛИ ПРИ ОБЪЁМЕ 80 МЛН/МЕС</t>
        </is>
      </c>
    </row>
    <row r="2" ht="15" customHeight="1" s="58">
      <c r="A2" s="60" t="inlineStr">
        <is>
          <t>Три варианта достижения цели. Синие ячейки — вводные.</t>
        </is>
      </c>
    </row>
    <row r="4" ht="26.25" customHeight="1" s="58">
      <c r="A4" s="61" t="inlineStr">
        <is>
          <t>Параметр</t>
        </is>
      </c>
      <c r="B4" s="61" t="inlineStr">
        <is>
          <t>Текущая модель</t>
        </is>
      </c>
      <c r="C4" s="61" t="inlineStr">
        <is>
          <t>Вар.1 Комиссии</t>
        </is>
      </c>
      <c r="D4" s="61" t="inlineStr">
        <is>
          <t>Вар.2 Эконом</t>
        </is>
      </c>
      <c r="E4" s="61" t="inlineStr">
        <is>
          <t>Вар.3 Баланс ✓</t>
        </is>
      </c>
    </row>
    <row r="5" ht="15" customHeight="1" s="58">
      <c r="A5" s="64" t="inlineStr">
        <is>
          <t>Объём финансирования/мес</t>
        </is>
      </c>
      <c r="B5" s="65" t="n">
        <v>80000000</v>
      </c>
      <c r="C5" s="65" t="n">
        <v>80000000</v>
      </c>
      <c r="D5" s="65" t="n">
        <v>80000000</v>
      </c>
      <c r="E5" s="65" t="n">
        <v>80000000</v>
      </c>
    </row>
    <row r="6" ht="15" customHeight="1" s="58">
      <c r="A6" s="97" t="inlineStr">
        <is>
          <t>— take rate (комиссии всего)</t>
        </is>
      </c>
      <c r="B6" s="70" t="n">
        <v>0.055</v>
      </c>
      <c r="C6" s="70" t="n">
        <v>0.075</v>
      </c>
      <c r="D6" s="70" t="n">
        <v>0.055</v>
      </c>
      <c r="E6" s="70" t="n">
        <v>0.065</v>
      </c>
    </row>
    <row r="7" ht="15" customHeight="1" s="58">
      <c r="A7" s="97" t="inlineStr">
        <is>
          <t>— переменные (% объёма)</t>
        </is>
      </c>
      <c r="B7" s="70" t="n">
        <v>0.0202</v>
      </c>
      <c r="C7" s="70" t="n">
        <v>0.0202</v>
      </c>
      <c r="D7" s="70" t="n">
        <v>0.0202</v>
      </c>
      <c r="E7" s="70" t="n">
        <v>0.0172</v>
      </c>
    </row>
    <row r="8" ht="15" customHeight="1" s="58">
      <c r="A8" s="64" t="inlineStr">
        <is>
          <t>Постоянные расходы/мес</t>
        </is>
      </c>
      <c r="B8" s="110" t="n">
        <v>3000000</v>
      </c>
      <c r="C8" s="110" t="n">
        <v>3000000</v>
      </c>
      <c r="D8" s="110" t="n">
        <v>1400000</v>
      </c>
      <c r="E8" s="110" t="n">
        <v>2400000</v>
      </c>
    </row>
    <row r="10" ht="15" customHeight="1" s="58">
      <c r="A10" s="64" t="inlineStr">
        <is>
          <t>Выручка</t>
        </is>
      </c>
      <c r="B10" s="77">
        <f>B5*B6</f>
        <v/>
      </c>
      <c r="C10" s="77">
        <f>C5*C6</f>
        <v/>
      </c>
      <c r="D10" s="77">
        <f>D5*D6</f>
        <v/>
      </c>
      <c r="E10" s="77">
        <f>E5*E6</f>
        <v/>
      </c>
    </row>
    <row r="11" ht="15" customHeight="1" s="58">
      <c r="A11" s="64" t="inlineStr">
        <is>
          <t>Переменные расходы</t>
        </is>
      </c>
      <c r="B11" s="77">
        <f>-B5*B7</f>
        <v/>
      </c>
      <c r="C11" s="77">
        <f>-C5*C7</f>
        <v/>
      </c>
      <c r="D11" s="77">
        <f>-D5*D7</f>
        <v/>
      </c>
      <c r="E11" s="77">
        <f>-E5*E7</f>
        <v/>
      </c>
    </row>
    <row r="12" ht="15" customHeight="1" s="58">
      <c r="A12" s="80" t="inlineStr">
        <is>
          <t>Маржа вклада</t>
        </is>
      </c>
      <c r="B12" s="78">
        <f>B10+B11</f>
        <v/>
      </c>
      <c r="C12" s="78">
        <f>C10+C11</f>
        <v/>
      </c>
      <c r="D12" s="78">
        <f>D10+D11</f>
        <v/>
      </c>
      <c r="E12" s="78">
        <f>E10+E11</f>
        <v/>
      </c>
    </row>
    <row r="13" ht="15" customHeight="1" s="58">
      <c r="A13" s="64" t="inlineStr">
        <is>
          <t>Постоянные расходы</t>
        </is>
      </c>
      <c r="B13" s="77">
        <f>-B8</f>
        <v/>
      </c>
      <c r="C13" s="77">
        <f>-C8</f>
        <v/>
      </c>
      <c r="D13" s="77">
        <f>-D8</f>
        <v/>
      </c>
      <c r="E13" s="77">
        <f>-E8</f>
        <v/>
      </c>
    </row>
    <row r="14" ht="15" customHeight="1" s="58">
      <c r="A14" s="85" t="inlineStr">
        <is>
          <t>EBITDA</t>
        </is>
      </c>
      <c r="B14" s="86">
        <f>B12+B13</f>
        <v/>
      </c>
      <c r="C14" s="86">
        <f>C12+C13</f>
        <v/>
      </c>
      <c r="D14" s="86">
        <f>D12+D13</f>
        <v/>
      </c>
      <c r="E14" s="86">
        <f>E12+E13</f>
        <v/>
      </c>
    </row>
    <row r="15" ht="15" customHeight="1" s="58">
      <c r="A15" s="64" t="inlineStr">
        <is>
          <t>Амортизация</t>
        </is>
      </c>
      <c r="B15" s="77">
        <f>-50000</f>
        <v/>
      </c>
      <c r="C15" s="77">
        <f>-50000</f>
        <v/>
      </c>
      <c r="D15" s="77">
        <f>-50000</f>
        <v/>
      </c>
      <c r="E15" s="77">
        <f>-50000</f>
        <v/>
      </c>
    </row>
    <row r="16" ht="15" customHeight="1" s="58">
      <c r="A16" s="64" t="inlineStr">
        <is>
          <t>EBIT</t>
        </is>
      </c>
      <c r="B16" s="77">
        <f>B14+B15</f>
        <v/>
      </c>
      <c r="C16" s="77">
        <f>C14+C15</f>
        <v/>
      </c>
      <c r="D16" s="77">
        <f>D14+D15</f>
        <v/>
      </c>
      <c r="E16" s="77">
        <f>E14+E15</f>
        <v/>
      </c>
    </row>
    <row r="17" ht="15" customHeight="1" s="58">
      <c r="A17" s="64" t="inlineStr">
        <is>
          <t>Налог 25%</t>
        </is>
      </c>
      <c r="B17" s="77">
        <f>-MAX(0,B16)*Допущения!B33</f>
        <v/>
      </c>
      <c r="C17" s="77">
        <f>-MAX(0,C16)*Допущения!B33</f>
        <v/>
      </c>
      <c r="D17" s="77">
        <f>-MAX(0,D16)*Допущения!B33</f>
        <v/>
      </c>
      <c r="E17" s="77">
        <f>-MAX(0,E16)*Допущения!B33</f>
        <v/>
      </c>
    </row>
    <row r="18" ht="15" customHeight="1" s="58">
      <c r="A18" s="80" t="inlineStr">
        <is>
          <t>ЧИСТАЯ ПРИБЫЛЬ/мес</t>
        </is>
      </c>
      <c r="B18" s="78">
        <f>B16+B17</f>
        <v/>
      </c>
      <c r="C18" s="78">
        <f>C16+C17</f>
        <v/>
      </c>
      <c r="D18" s="78">
        <f>D16+D17</f>
        <v/>
      </c>
      <c r="E18" s="78">
        <f>E16+E17</f>
        <v/>
      </c>
    </row>
    <row r="19" ht="15" customHeight="1" s="58">
      <c r="A19" s="71" t="inlineStr">
        <is>
          <t>Цель достигнута? (≥1 млн)</t>
        </is>
      </c>
      <c r="B19" s="111">
        <f>IF(B18&gt;=1000000,"ДА","нет")</f>
        <v/>
      </c>
      <c r="C19" s="111">
        <f>IF(C18&gt;=1000000,"ДА","нет")</f>
        <v/>
      </c>
      <c r="D19" s="111">
        <f>IF(D18&gt;=1000000,"ДА","нет")</f>
        <v/>
      </c>
      <c r="E19" s="111">
        <f>IF(E18&gt;=1000000,"ДА","нет")</f>
        <v/>
      </c>
    </row>
    <row r="21" ht="15" customHeight="1" s="58">
      <c r="A21" s="112" t="inlineStr">
        <is>
          <t>Описание вариантов:</t>
        </is>
      </c>
    </row>
    <row r="22" ht="30" customHeight="1" s="58">
      <c r="A22" s="113" t="inlineStr">
        <is>
          <t>Вар.1 «Комиссии»: take rate 5.5%→7.5% (заёмщик 4% + инвестор 2% + допуслуги 1.5%), команда без изменений.</t>
        </is>
      </c>
    </row>
    <row r="23" ht="30" customHeight="1" s="58">
      <c r="A23" s="113" t="inlineStr">
        <is>
          <t>Вар.2 «Эконом»: комиссии как есть, но постоянные урезаны до 1.4 млн (MVP-команда ~5 чел, минимум офиса).</t>
        </is>
      </c>
    </row>
    <row r="24" ht="30" customHeight="1" s="58">
      <c r="A24" s="113" t="inlineStr">
        <is>
          <t>Вар.3 «Баланс» ✓ (рекомендую): take rate 6.5% (заёмщик 3.5%+инвестор 1.5%+допуслуги 1.5%), маркетинг через рефералов 1%→0.7%, команда чуть компактнее (2.4 млн).</t>
        </is>
      </c>
    </row>
  </sheetData>
  <mergeCells count="3">
    <mergeCell ref="A22:E22"/>
    <mergeCell ref="A23:E23"/>
    <mergeCell ref="A24:E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style="58" min="1" max="1"/>
    <col width="14" customWidth="1" style="58" min="2" max="2"/>
    <col width="14" customWidth="1" style="58" min="3" max="3"/>
    <col width="14" customWidth="1" style="58" min="4" max="4"/>
    <col width="14" customWidth="1" style="58" min="5" max="5"/>
    <col width="14" customWidth="1" style="58" min="6" max="6"/>
    <col width="14" customWidth="1" style="58" min="7" max="7"/>
  </cols>
  <sheetData>
    <row r="1">
      <c r="A1" s="114" t="inlineStr">
        <is>
          <t>СЦЕНАРИЙ: РАБОТА ПОД ЧУЖОЙ ЛИЦЕНЗИЕЙ (WHITE-LABEL)</t>
        </is>
      </c>
    </row>
    <row r="2">
      <c r="A2" s="115" t="inlineStr">
        <is>
          <t>Партнёр с лицензией ЦБ берёт долю выручки. Синяя ячейка — вводная. Расходы оставлены как в базе (комплаенс партнёра — upside).</t>
        </is>
      </c>
    </row>
    <row r="3">
      <c r="A3" s="116" t="inlineStr">
        <is>
          <t>Доля партнёра (% от выручки)</t>
        </is>
      </c>
      <c r="B3" s="117" t="n">
        <v>0.25</v>
      </c>
    </row>
    <row r="5">
      <c r="A5" s="118" t="inlineStr">
        <is>
          <t>Показатель / Объём в мес</t>
        </is>
      </c>
      <c r="B5" s="119">
        <f>'Прогноз по объёмам'!B3</f>
        <v/>
      </c>
      <c r="C5" s="119">
        <f>'Прогноз по объёмам'!C3</f>
        <v/>
      </c>
      <c r="D5" s="119">
        <f>'Прогноз по объёмам'!D3</f>
        <v/>
      </c>
      <c r="E5" s="119">
        <f>'Прогноз по объёмам'!E3</f>
        <v/>
      </c>
      <c r="F5" s="119">
        <f>'Прогноз по объёмам'!F3</f>
        <v/>
      </c>
      <c r="G5" s="119">
        <f>'Прогноз по объёмам'!G3</f>
        <v/>
      </c>
    </row>
    <row r="6">
      <c r="A6" s="116" t="inlineStr">
        <is>
          <t>Объём финансирования (₽)</t>
        </is>
      </c>
      <c r="B6" s="120">
        <f>'Прогноз по объёмам'!B4</f>
        <v/>
      </c>
      <c r="C6" s="120">
        <f>'Прогноз по объёмам'!C4</f>
        <v/>
      </c>
      <c r="D6" s="120">
        <f>'Прогноз по объёмам'!D4</f>
        <v/>
      </c>
      <c r="E6" s="120">
        <f>'Прогноз по объёмам'!E4</f>
        <v/>
      </c>
      <c r="F6" s="120">
        <f>'Прогноз по объёмам'!F4</f>
        <v/>
      </c>
      <c r="G6" s="120">
        <f>'Прогноз по объёмам'!G4</f>
        <v/>
      </c>
    </row>
    <row r="7">
      <c r="A7" s="116" t="inlineStr">
        <is>
          <t>Выручка валовая (Revenue)</t>
        </is>
      </c>
      <c r="B7" s="120">
        <f>'Прогноз по объёмам'!B6</f>
        <v/>
      </c>
      <c r="C7" s="120">
        <f>'Прогноз по объёмам'!C6</f>
        <v/>
      </c>
      <c r="D7" s="120">
        <f>'Прогноз по объёмам'!D6</f>
        <v/>
      </c>
      <c r="E7" s="120">
        <f>'Прогноз по объёмам'!E6</f>
        <v/>
      </c>
      <c r="F7" s="120">
        <f>'Прогноз по объёмам'!F6</f>
        <v/>
      </c>
      <c r="G7" s="120">
        <f>'Прогноз по объёмам'!G6</f>
        <v/>
      </c>
    </row>
    <row r="8">
      <c r="A8" s="116" t="inlineStr">
        <is>
          <t xml:space="preserve">  − Доля партнёра</t>
        </is>
      </c>
      <c r="B8" s="121">
        <f>-'Прогноз по объёмам'!B6*$B$3</f>
        <v/>
      </c>
      <c r="C8" s="121">
        <f>-'Прогноз по объёмам'!C6*$B$3</f>
        <v/>
      </c>
      <c r="D8" s="121">
        <f>-'Прогноз по объёмам'!D6*$B$3</f>
        <v/>
      </c>
      <c r="E8" s="121">
        <f>-'Прогноз по объёмам'!E6*$B$3</f>
        <v/>
      </c>
      <c r="F8" s="121">
        <f>-'Прогноз по объёмам'!F6*$B$3</f>
        <v/>
      </c>
      <c r="G8" s="121">
        <f>-'Прогноз по объёмам'!G6*$B$3</f>
        <v/>
      </c>
    </row>
    <row r="9">
      <c r="A9" s="118" t="inlineStr">
        <is>
          <t>Выручка платформы (нетто)</t>
        </is>
      </c>
      <c r="B9" s="122">
        <f>'Прогноз по объёмам'!B6*(1-$B$3)</f>
        <v/>
      </c>
      <c r="C9" s="122">
        <f>'Прогноз по объёмам'!C6*(1-$B$3)</f>
        <v/>
      </c>
      <c r="D9" s="122">
        <f>'Прогноз по объёмам'!D6*(1-$B$3)</f>
        <v/>
      </c>
      <c r="E9" s="122">
        <f>'Прогноз по объёмам'!E6*(1-$B$3)</f>
        <v/>
      </c>
      <c r="F9" s="122">
        <f>'Прогноз по объёмам'!F6*(1-$B$3)</f>
        <v/>
      </c>
      <c r="G9" s="122">
        <f>'Прогноз по объёмам'!G6*(1-$B$3)</f>
        <v/>
      </c>
    </row>
    <row r="10">
      <c r="A10" s="116" t="inlineStr">
        <is>
          <t xml:space="preserve">  − Переменные расходы</t>
        </is>
      </c>
      <c r="B10" s="120">
        <f>'Прогноз по объёмам'!B7</f>
        <v/>
      </c>
      <c r="C10" s="120">
        <f>'Прогноз по объёмам'!C7</f>
        <v/>
      </c>
      <c r="D10" s="120">
        <f>'Прогноз по объёмам'!D7</f>
        <v/>
      </c>
      <c r="E10" s="120">
        <f>'Прогноз по объёмам'!E7</f>
        <v/>
      </c>
      <c r="F10" s="120">
        <f>'Прогноз по объёмам'!F7</f>
        <v/>
      </c>
      <c r="G10" s="120">
        <f>'Прогноз по объёмам'!G7</f>
        <v/>
      </c>
    </row>
    <row r="11">
      <c r="A11" s="116" t="inlineStr">
        <is>
          <t>Маржа вклада</t>
        </is>
      </c>
      <c r="B11" s="121">
        <f>B9+B10</f>
        <v/>
      </c>
      <c r="C11" s="121">
        <f>C9+C10</f>
        <v/>
      </c>
      <c r="D11" s="121">
        <f>D9+D10</f>
        <v/>
      </c>
      <c r="E11" s="121">
        <f>E9+E10</f>
        <v/>
      </c>
      <c r="F11" s="121">
        <f>F9+F10</f>
        <v/>
      </c>
      <c r="G11" s="121">
        <f>G9+G10</f>
        <v/>
      </c>
    </row>
    <row r="12">
      <c r="A12" s="116" t="inlineStr">
        <is>
          <t xml:space="preserve">  − Постоянные расходы</t>
        </is>
      </c>
      <c r="B12" s="120">
        <f>'Прогноз по объёмам'!B9</f>
        <v/>
      </c>
      <c r="C12" s="120">
        <f>'Прогноз по объёмам'!C9</f>
        <v/>
      </c>
      <c r="D12" s="120">
        <f>'Прогноз по объёмам'!D9</f>
        <v/>
      </c>
      <c r="E12" s="120">
        <f>'Прогноз по объёмам'!E9</f>
        <v/>
      </c>
      <c r="F12" s="120">
        <f>'Прогноз по объёмам'!F9</f>
        <v/>
      </c>
      <c r="G12" s="120">
        <f>'Прогноз по объёмам'!G9</f>
        <v/>
      </c>
    </row>
    <row r="13">
      <c r="A13" s="118" t="inlineStr">
        <is>
          <t>EBITDA</t>
        </is>
      </c>
      <c r="B13" s="122">
        <f>B11+B12</f>
        <v/>
      </c>
      <c r="C13" s="122">
        <f>C11+C12</f>
        <v/>
      </c>
      <c r="D13" s="122">
        <f>D11+D12</f>
        <v/>
      </c>
      <c r="E13" s="122">
        <f>E11+E12</f>
        <v/>
      </c>
      <c r="F13" s="122">
        <f>F11+F12</f>
        <v/>
      </c>
      <c r="G13" s="122">
        <f>G11+G12</f>
        <v/>
      </c>
    </row>
    <row r="14">
      <c r="A14" s="116" t="inlineStr">
        <is>
          <t xml:space="preserve">  EBITDA-маржа (к нетто)</t>
        </is>
      </c>
      <c r="B14" s="123">
        <f>B13/B9</f>
        <v/>
      </c>
      <c r="C14" s="123">
        <f>C13/C9</f>
        <v/>
      </c>
      <c r="D14" s="123">
        <f>D13/D9</f>
        <v/>
      </c>
      <c r="E14" s="123">
        <f>E13/E9</f>
        <v/>
      </c>
      <c r="F14" s="123">
        <f>F13/F9</f>
        <v/>
      </c>
      <c r="G14" s="123">
        <f>G13/G9</f>
        <v/>
      </c>
    </row>
    <row r="15">
      <c r="A15" s="116" t="inlineStr">
        <is>
          <t xml:space="preserve">  − Налог на прибыль (25%)</t>
        </is>
      </c>
      <c r="B15" s="121">
        <f>-MAX(0,B13)*'Допущения'!$B$33</f>
        <v/>
      </c>
      <c r="C15" s="121">
        <f>-MAX(0,C13)*'Допущения'!$B$33</f>
        <v/>
      </c>
      <c r="D15" s="121">
        <f>-MAX(0,D13)*'Допущения'!$B$33</f>
        <v/>
      </c>
      <c r="E15" s="121">
        <f>-MAX(0,E13)*'Допущения'!$B$33</f>
        <v/>
      </c>
      <c r="F15" s="121">
        <f>-MAX(0,F13)*'Допущения'!$B$33</f>
        <v/>
      </c>
      <c r="G15" s="121">
        <f>-MAX(0,G13)*'Допущения'!$B$33</f>
        <v/>
      </c>
    </row>
    <row r="16">
      <c r="A16" s="118" t="inlineStr">
        <is>
          <t>ЧИСТАЯ ПРИБЫЛЬ (мес)</t>
        </is>
      </c>
      <c r="B16" s="122">
        <f>B13+B15</f>
        <v/>
      </c>
      <c r="C16" s="122">
        <f>C13+C15</f>
        <v/>
      </c>
      <c r="D16" s="122">
        <f>D13+D15</f>
        <v/>
      </c>
      <c r="E16" s="122">
        <f>E13+E15</f>
        <v/>
      </c>
      <c r="F16" s="122">
        <f>F13+F15</f>
        <v/>
      </c>
      <c r="G16" s="122">
        <f>G13+G15</f>
        <v/>
      </c>
    </row>
    <row r="17">
      <c r="A17" s="116" t="inlineStr">
        <is>
          <t xml:space="preserve">  Чистая прибыль (год)</t>
        </is>
      </c>
      <c r="B17" s="121">
        <f>B16*12</f>
        <v/>
      </c>
      <c r="C17" s="121">
        <f>C16*12</f>
        <v/>
      </c>
      <c r="D17" s="121">
        <f>D16*12</f>
        <v/>
      </c>
      <c r="E17" s="121">
        <f>E16*12</f>
        <v/>
      </c>
      <c r="F17" s="121">
        <f>F16*12</f>
        <v/>
      </c>
      <c r="G17" s="121">
        <f>G16*12</f>
        <v/>
      </c>
    </row>
    <row r="19">
      <c r="A19" s="118" t="inlineStr">
        <is>
          <t>Сравнение EBITDA:</t>
        </is>
      </c>
    </row>
    <row r="20">
      <c r="A20" s="116" t="inlineStr">
        <is>
          <t>EBITDA — своя лицензия</t>
        </is>
      </c>
      <c r="B20" s="120">
        <f>'Прогноз по объёмам'!B10</f>
        <v/>
      </c>
      <c r="C20" s="120">
        <f>'Прогноз по объёмам'!C10</f>
        <v/>
      </c>
      <c r="D20" s="120">
        <f>'Прогноз по объёмам'!D10</f>
        <v/>
      </c>
      <c r="E20" s="120">
        <f>'Прогноз по объёмам'!E10</f>
        <v/>
      </c>
      <c r="F20" s="120">
        <f>'Прогноз по объёмам'!F10</f>
        <v/>
      </c>
      <c r="G20" s="120">
        <f>'Прогноз по объёмам'!G10</f>
        <v/>
      </c>
    </row>
    <row r="21">
      <c r="A21" s="116" t="inlineStr">
        <is>
          <t>EBITDA — white-label</t>
        </is>
      </c>
      <c r="B21" s="121">
        <f>B13</f>
        <v/>
      </c>
      <c r="C21" s="121">
        <f>C13</f>
        <v/>
      </c>
      <c r="D21" s="121">
        <f>D13</f>
        <v/>
      </c>
      <c r="E21" s="121">
        <f>E13</f>
        <v/>
      </c>
      <c r="F21" s="121">
        <f>F13</f>
        <v/>
      </c>
      <c r="G21" s="121">
        <f>G13</f>
        <v/>
      </c>
    </row>
    <row r="22">
      <c r="A22" s="116" t="inlineStr">
        <is>
          <t xml:space="preserve">  Разница (цена лицензии партнёра)</t>
        </is>
      </c>
      <c r="B22" s="121">
        <f>B21-B20</f>
        <v/>
      </c>
      <c r="C22" s="121">
        <f>C21-C20</f>
        <v/>
      </c>
      <c r="D22" s="121">
        <f>D21-D20</f>
        <v/>
      </c>
      <c r="E22" s="121">
        <f>E21-E20</f>
        <v/>
      </c>
      <c r="F22" s="121">
        <f>F21-F20</f>
        <v/>
      </c>
      <c r="G22" s="121">
        <f>G21-G20</f>
        <v/>
      </c>
    </row>
    <row r="24">
      <c r="A24" s="118" t="inlineStr">
        <is>
          <t>ИТОГ: своя лицензия vs white-label</t>
        </is>
      </c>
    </row>
    <row r="25">
      <c r="A25" s="116" t="inlineStr">
        <is>
          <t>Take rate — своя</t>
        </is>
      </c>
      <c r="B25" s="123">
        <f>'Допущения'!B15</f>
        <v/>
      </c>
    </row>
    <row r="26">
      <c r="A26" s="116" t="inlineStr">
        <is>
          <t>Take rate — white-label (нетто)</t>
        </is>
      </c>
      <c r="B26" s="123">
        <f>'Допущения'!B15*(1-B3)</f>
        <v/>
      </c>
    </row>
    <row r="27">
      <c r="A27" s="116" t="inlineStr">
        <is>
          <t>Маржа вклада — своя</t>
        </is>
      </c>
      <c r="B27" s="123">
        <f>'Допущения'!B23</f>
        <v/>
      </c>
    </row>
    <row r="28">
      <c r="A28" s="116" t="inlineStr">
        <is>
          <t>Маржа вклада — white-label</t>
        </is>
      </c>
      <c r="B28" s="123">
        <f>'Допущения'!B15*(1-B3)-'Допущения'!B22</f>
        <v/>
      </c>
    </row>
    <row r="29">
      <c r="A29" s="116" t="inlineStr">
        <is>
          <t>Точка безубыточности — своя (₽/мес)</t>
        </is>
      </c>
      <c r="B29" s="121">
        <f>'Точка безубыточности'!B7</f>
        <v/>
      </c>
    </row>
    <row r="30">
      <c r="A30" s="116" t="inlineStr">
        <is>
          <t>Точка безубыточности — white-label</t>
        </is>
      </c>
      <c r="B30" s="121">
        <f>'Допущения'!B30/B28</f>
        <v/>
      </c>
    </row>
    <row r="31">
      <c r="A31" s="116" t="inlineStr">
        <is>
          <t xml:space="preserve">  Рост точки безубыточности</t>
        </is>
      </c>
      <c r="B31" s="123">
        <f>B30/B29-1</f>
        <v/>
      </c>
    </row>
    <row r="33">
      <c r="A33" s="118" t="inlineStr">
        <is>
          <t>ЧУВСТВИТЕЛЬНОСТЬ К ДОЛЕ ПАРТНЁРА</t>
        </is>
      </c>
    </row>
    <row r="34">
      <c r="A34" s="124" t="inlineStr">
        <is>
          <t>Доля партнёра</t>
        </is>
      </c>
      <c r="B34" s="125" t="inlineStr">
        <is>
          <t>Take rate нетто</t>
        </is>
      </c>
      <c r="C34" s="125" t="inlineStr">
        <is>
          <t>Маржа вклада</t>
        </is>
      </c>
      <c r="D34" s="125" t="inlineStr">
        <is>
          <t>Точка ББ (₽/мес)</t>
        </is>
      </c>
      <c r="E34" s="125" t="inlineStr">
        <is>
          <t>EBITDA @1 млрд</t>
        </is>
      </c>
    </row>
    <row r="35">
      <c r="A35" s="126" t="n">
        <v>0.15</v>
      </c>
      <c r="B35" s="123">
        <f>Допущения!B15*(1-A35)</f>
        <v/>
      </c>
      <c r="C35" s="123">
        <f>Допущения!B15*(1-A35)-Допущения!B22</f>
        <v/>
      </c>
      <c r="D35" s="121">
        <f>Допущения!B30/C35</f>
        <v/>
      </c>
      <c r="E35" s="121">
        <f>'Прогноз по объёмам'!E6*(1-A35)+'Прогноз по объёмам'!E7+'Прогноз по объёмам'!E9</f>
        <v/>
      </c>
    </row>
    <row r="36">
      <c r="A36" s="126" t="n">
        <v>0.25</v>
      </c>
      <c r="B36" s="123">
        <f>Допущения!B15*(1-A36)</f>
        <v/>
      </c>
      <c r="C36" s="123">
        <f>Допущения!B15*(1-A36)-Допущения!B22</f>
        <v/>
      </c>
      <c r="D36" s="121">
        <f>Допущения!B30/C36</f>
        <v/>
      </c>
      <c r="E36" s="121">
        <f>'Прогноз по объёмам'!E6*(1-A36)+'Прогноз по объёмам'!E7+'Прогноз по объёмам'!E9</f>
        <v/>
      </c>
    </row>
    <row r="37">
      <c r="A37" s="126" t="n">
        <v>0.35</v>
      </c>
      <c r="B37" s="123">
        <f>Допущения!B15*(1-A37)</f>
        <v/>
      </c>
      <c r="C37" s="123">
        <f>Допущения!B15*(1-A37)-Допущения!B22</f>
        <v/>
      </c>
      <c r="D37" s="121">
        <f>Допущения!B30/C37</f>
        <v/>
      </c>
      <c r="E37" s="121">
        <f>'Прогноз по объёмам'!E6*(1-A37)+'Прогноз по объёмам'!E7+'Прогноз по объёмам'!E9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style="58" min="1" max="1"/>
    <col width="22" customWidth="1" style="58" min="2" max="2"/>
    <col width="22" customWidth="1" style="58" min="3" max="3"/>
    <col width="22" customWidth="1" style="58" min="4" max="4"/>
  </cols>
  <sheetData>
    <row r="1">
      <c r="A1" s="114" t="inlineStr">
        <is>
          <t>СРАВНЕНИЕ ТРЁХ МОДЕЛЕЙ ЗАПУСКА</t>
        </is>
      </c>
    </row>
    <row r="2">
      <c r="A2" s="115" t="inlineStr">
        <is>
          <t>Финансовые строки — формулы (из листов модели). Качественные — оценка.</t>
        </is>
      </c>
    </row>
    <row r="4">
      <c r="A4" s="127" t="inlineStr">
        <is>
          <t>Показатель</t>
        </is>
      </c>
      <c r="B4" s="128" t="inlineStr">
        <is>
          <t>Своя лицензия (ФЗ-259)</t>
        </is>
      </c>
      <c r="C4" s="128" t="inlineStr">
        <is>
          <t>Информационный сервис</t>
        </is>
      </c>
      <c r="D4" s="128" t="inlineStr">
        <is>
          <t>White-label (25%)</t>
        </is>
      </c>
    </row>
    <row r="5">
      <c r="A5" s="116" t="inlineStr">
        <is>
          <t>Take rate (нетто)</t>
        </is>
      </c>
      <c r="B5" s="129">
        <f>Допущения!B15</f>
        <v/>
      </c>
      <c r="C5" s="129">
        <f>Допущения!B15</f>
        <v/>
      </c>
      <c r="D5" s="129">
        <f>'White-label'!B26</f>
        <v/>
      </c>
    </row>
    <row r="6">
      <c r="A6" s="116" t="inlineStr">
        <is>
          <t>Маржа вклада</t>
        </is>
      </c>
      <c r="B6" s="129">
        <f>Допущения!B23</f>
        <v/>
      </c>
      <c r="C6" s="129">
        <f>Допущения!B23</f>
        <v/>
      </c>
      <c r="D6" s="129">
        <f>'White-label'!B28</f>
        <v/>
      </c>
    </row>
    <row r="7">
      <c r="A7" s="116" t="inlineStr">
        <is>
          <t>Точка безубыточности (₽/мес)</t>
        </is>
      </c>
      <c r="B7" s="130">
        <f>'Точка безубыточности'!B7</f>
        <v/>
      </c>
      <c r="C7" s="130">
        <f>'Точка безубыточности'!B7</f>
        <v/>
      </c>
      <c r="D7" s="130">
        <f>'White-label'!B30</f>
        <v/>
      </c>
    </row>
    <row r="8">
      <c r="A8" s="116" t="inlineStr">
        <is>
          <t>EBITDA при 1 млрд/мес (₽)</t>
        </is>
      </c>
      <c r="B8" s="130">
        <f>'Прогноз по объёмам'!E10</f>
        <v/>
      </c>
      <c r="C8" s="130">
        <f>'Прогноз по объёмам'!E10</f>
        <v/>
      </c>
      <c r="D8" s="130">
        <f>'White-label'!E13</f>
        <v/>
      </c>
    </row>
    <row r="9">
      <c r="A9" s="116" t="inlineStr">
        <is>
          <t>Капитал на старт</t>
        </is>
      </c>
      <c r="B9" s="131" t="inlineStr">
        <is>
          <t>5 млн собств. + юр.</t>
        </is>
      </c>
      <c r="C9" s="131" t="inlineStr">
        <is>
          <t>минимальный</t>
        </is>
      </c>
      <c r="D9" s="131" t="inlineStr">
        <is>
          <t>минимальный</t>
        </is>
      </c>
    </row>
    <row r="10">
      <c r="A10" s="116" t="inlineStr">
        <is>
          <t>Легальность / риск</t>
        </is>
      </c>
      <c r="B10" s="131" t="inlineStr">
        <is>
          <t>✅ полная</t>
        </is>
      </c>
      <c r="C10" s="131" t="inlineStr">
        <is>
          <t>⚠️ риск переквалификации</t>
        </is>
      </c>
      <c r="D10" s="131" t="inlineStr">
        <is>
          <t>✅ полная (под партнёром)</t>
        </is>
      </c>
    </row>
    <row r="11">
      <c r="A11" s="116" t="inlineStr">
        <is>
          <t>Скорость запуска</t>
        </is>
      </c>
      <c r="B11" s="131" t="inlineStr">
        <is>
          <t>месяцы</t>
        </is>
      </c>
      <c r="C11" s="131" t="inlineStr">
        <is>
          <t>быстро</t>
        </is>
      </c>
      <c r="D11" s="131" t="inlineStr">
        <is>
          <t>недели</t>
        </is>
      </c>
    </row>
    <row r="12">
      <c r="A12" s="116" t="inlineStr">
        <is>
          <t>Маржа платформы</t>
        </is>
      </c>
      <c r="B12" s="131" t="inlineStr">
        <is>
          <t>максимум</t>
        </is>
      </c>
      <c r="C12" s="131" t="inlineStr">
        <is>
          <t>максимум</t>
        </is>
      </c>
      <c r="D12" s="131" t="inlineStr">
        <is>
          <t>делишь с партнёром</t>
        </is>
      </c>
    </row>
    <row r="14">
      <c r="A14" s="115" t="inlineStr">
        <is>
          <t>Вывод: инфосервис = та же экономика, что своя лицензия, но с регуляторным риском. White-label дороже по марже, но легально и быстро — оптимален для старта.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2026-06-06T05:42:08Z</dcterms:created>
  <dcterms:modified xmlns:dcterms="http://purl.org/dc/terms/" xmlns:xsi="http://www.w3.org/2001/XMLSchema-instance" xsi:type="dcterms:W3CDTF">2026-06-08T10:39:00Z</dcterms:modified>
  <cp:revision>0</cp:revision>
</cp:coreProperties>
</file>