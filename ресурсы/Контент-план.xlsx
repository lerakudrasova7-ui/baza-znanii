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ент-план" sheetId="1" state="visible" r:id="rId1"/>
    <sheet name="Сводка" sheetId="2" state="visible" r:id="rId2"/>
  </sheets>
  <definedNames>
    <definedName name="_xlnm._FilterDatabase" localSheetId="0" hidden="1">'Контент-план'!$A$1:$I$17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3440"/>
      <sz val="14"/>
    </font>
    <font>
      <name val="Arial"/>
      <b val="1"/>
      <color rgb="002E3440"/>
      <sz val="11"/>
    </font>
  </fonts>
  <fills count="5">
    <fill>
      <patternFill/>
    </fill>
    <fill>
      <patternFill patternType="gray125"/>
    </fill>
    <fill>
      <patternFill patternType="solid">
        <fgColor rgb="003B4252"/>
      </patternFill>
    </fill>
    <fill>
      <patternFill patternType="solid">
        <fgColor rgb="00ECEFF4"/>
      </patternFill>
    </fill>
    <fill>
      <patternFill patternType="solid">
        <fgColor rgb="005E81AC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9" fontId="2" fillId="0" borderId="0" pivotButton="0" quotePrefix="0" xfId="0"/>
    <xf numFmtId="0" fontId="1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5E9F0"/>
        </patternFill>
      </fill>
    </dxf>
    <dxf>
      <fill>
        <patternFill patternType="solid">
          <fgColor rgb="00EBCB8B"/>
        </patternFill>
      </fill>
    </dxf>
    <dxf>
      <fill>
        <patternFill patternType="solid">
          <fgColor rgb="00A3BE8C"/>
        </patternFill>
      </fill>
    </dxf>
    <dxf>
      <fill>
        <patternFill patternType="solid">
          <fgColor rgb="0088C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  <col width="10" customWidth="1" min="5" max="5"/>
    <col width="38" customWidth="1" min="6" max="6"/>
    <col width="13" customWidth="1" min="7" max="7"/>
    <col width="14" customWidth="1" min="8" max="8"/>
    <col width="28" customWidth="1" min="9" max="9"/>
  </cols>
  <sheetData>
    <row r="1" ht="30" customHeight="1">
      <c r="A1" s="1" t="inlineStr">
        <is>
          <t>Дата</t>
        </is>
      </c>
      <c r="B1" s="1" t="inlineStr">
        <is>
          <t>День</t>
        </is>
      </c>
      <c r="C1" s="1" t="inlineStr">
        <is>
          <t>Рубрика</t>
        </is>
      </c>
      <c r="D1" s="1" t="inlineStr">
        <is>
          <t>Тема / Идея</t>
        </is>
      </c>
      <c r="E1" s="1" t="inlineStr">
        <is>
          <t>Формат</t>
        </is>
      </c>
      <c r="F1" s="1" t="inlineStr">
        <is>
          <t>Хук (0–3 сек)</t>
        </is>
      </c>
      <c r="G1" s="1" t="inlineStr">
        <is>
          <t>Статус</t>
        </is>
      </c>
      <c r="H1" s="1" t="inlineStr">
        <is>
          <t>Опубликовано</t>
        </is>
      </c>
      <c r="I1" s="1" t="inlineStr">
        <is>
          <t>Заметки</t>
        </is>
      </c>
    </row>
    <row r="2">
      <c r="A2" s="2" t="n">
        <v>46181</v>
      </c>
      <c r="B2" s="3">
        <f>TEXT(A2,"dddd")</f>
        <v/>
      </c>
      <c r="C2" s="3" t="inlineStr">
        <is>
          <t>Тренировки</t>
        </is>
      </c>
      <c r="D2" s="4" t="inlineStr">
        <is>
          <t>3 ошибки в планке</t>
        </is>
      </c>
      <c r="E2" s="3" t="inlineStr">
        <is>
          <t>Reels</t>
        </is>
      </c>
      <c r="F2" s="4" t="inlineStr">
        <is>
          <t>Ты делаешь планку НЕПРАВИЛЬНО</t>
        </is>
      </c>
      <c r="G2" s="3" t="inlineStr">
        <is>
          <t>Готово</t>
        </is>
      </c>
      <c r="H2" s="3" t="inlineStr"/>
      <c r="I2" s="4" t="inlineStr"/>
    </row>
    <row r="3">
      <c r="A3" s="5" t="n">
        <v>46183</v>
      </c>
      <c r="B3" s="6">
        <f>TEXT(A3,"dddd")</f>
        <v/>
      </c>
      <c r="C3" s="6" t="inlineStr">
        <is>
          <t>Питание</t>
        </is>
      </c>
      <c r="D3" s="7" t="inlineStr">
        <is>
          <t>Что я ем за день</t>
        </is>
      </c>
      <c r="E3" s="6" t="inlineStr">
        <is>
          <t>Reels</t>
        </is>
      </c>
      <c r="F3" s="7" t="inlineStr">
        <is>
          <t>Дневной рацион на дефиците</t>
        </is>
      </c>
      <c r="G3" s="6" t="inlineStr">
        <is>
          <t>В работе</t>
        </is>
      </c>
      <c r="H3" s="6" t="inlineStr"/>
      <c r="I3" s="7" t="inlineStr"/>
    </row>
    <row r="4">
      <c r="A4" s="2" t="n">
        <v>46185</v>
      </c>
      <c r="B4" s="3">
        <f>TEXT(A4,"dddd")</f>
        <v/>
      </c>
      <c r="C4" s="3" t="inlineStr">
        <is>
          <t>Мотивация</t>
        </is>
      </c>
      <c r="D4" s="4" t="inlineStr">
        <is>
          <t>Почему ты бросаешь через неделю</t>
        </is>
      </c>
      <c r="E4" s="3" t="inlineStr">
        <is>
          <t>Reels</t>
        </is>
      </c>
      <c r="F4" s="4" t="inlineStr">
        <is>
          <t>Главная причина, почему ты сдаёшься</t>
        </is>
      </c>
      <c r="G4" s="3" t="inlineStr">
        <is>
          <t>Идея</t>
        </is>
      </c>
      <c r="H4" s="3" t="inlineStr"/>
      <c r="I4" s="4" t="inlineStr"/>
    </row>
    <row r="5">
      <c r="A5" s="5" t="n">
        <v>46186</v>
      </c>
      <c r="B5" s="6">
        <f>TEXT(A5,"dddd")</f>
        <v/>
      </c>
      <c r="C5" s="6" t="inlineStr">
        <is>
          <t>Lifestyle</t>
        </is>
      </c>
      <c r="D5" s="7" t="inlineStr">
        <is>
          <t>Утро продуктивного человека</t>
        </is>
      </c>
      <c r="E5" s="6" t="inlineStr">
        <is>
          <t>Stories</t>
        </is>
      </c>
      <c r="F5" s="7" t="inlineStr"/>
      <c r="G5" s="6" t="inlineStr">
        <is>
          <t>Идея</t>
        </is>
      </c>
      <c r="H5" s="6" t="inlineStr"/>
      <c r="I5" s="7" t="inlineStr"/>
    </row>
    <row r="6">
      <c r="A6" s="2" t="n">
        <v>46188</v>
      </c>
      <c r="B6" s="3">
        <f>TEXT(A6,"dddd")</f>
        <v/>
      </c>
      <c r="C6" s="3" t="inlineStr">
        <is>
          <t>Тренировки</t>
        </is>
      </c>
      <c r="D6" s="4" t="inlineStr">
        <is>
          <t>Пресс за 10 минут дома</t>
        </is>
      </c>
      <c r="E6" s="3" t="inlineStr">
        <is>
          <t>Reels</t>
        </is>
      </c>
      <c r="F6" s="4" t="inlineStr">
        <is>
          <t>Кубики без зала и оборудования</t>
        </is>
      </c>
      <c r="G6" s="3" t="inlineStr">
        <is>
          <t>Идея</t>
        </is>
      </c>
      <c r="H6" s="3" t="inlineStr"/>
      <c r="I6" s="4" t="inlineStr"/>
    </row>
    <row r="7">
      <c r="A7" s="5" t="n">
        <v>46190</v>
      </c>
      <c r="B7" s="6">
        <f>TEXT(A7,"dddd")</f>
        <v/>
      </c>
      <c r="C7" s="6" t="inlineStr">
        <is>
          <t>Тренд</t>
        </is>
      </c>
      <c r="D7" s="7" t="inlineStr">
        <is>
          <t>Трендовый переход + тренировка</t>
        </is>
      </c>
      <c r="E7" s="6" t="inlineStr">
        <is>
          <t>Reels</t>
        </is>
      </c>
      <c r="F7" s="7" t="inlineStr">
        <is>
          <t>[подставить актуальный звук]</t>
        </is>
      </c>
      <c r="G7" s="6" t="inlineStr">
        <is>
          <t>Идея</t>
        </is>
      </c>
      <c r="H7" s="6" t="inlineStr"/>
      <c r="I7" s="7" t="inlineStr"/>
    </row>
    <row r="8">
      <c r="A8" s="2" t="n">
        <v>46192</v>
      </c>
      <c r="B8" s="3">
        <f>TEXT(A8,"dddd")</f>
        <v/>
      </c>
      <c r="C8" s="3" t="inlineStr">
        <is>
          <t>Питание</t>
        </is>
      </c>
      <c r="D8" s="4" t="inlineStr">
        <is>
          <t>Полезный перекус за 2 минуты</t>
        </is>
      </c>
      <c r="E8" s="3" t="inlineStr">
        <is>
          <t>Reels</t>
        </is>
      </c>
      <c r="F8" s="4" t="inlineStr">
        <is>
          <t>Перекус, который не испортит фигуру</t>
        </is>
      </c>
      <c r="G8" s="3" t="inlineStr">
        <is>
          <t>Идея</t>
        </is>
      </c>
      <c r="H8" s="3" t="inlineStr"/>
      <c r="I8" s="4" t="inlineStr"/>
    </row>
    <row r="9">
      <c r="A9" s="5" t="n">
        <v>46194</v>
      </c>
      <c r="B9" s="6">
        <f>TEXT(A9,"dddd")</f>
        <v/>
      </c>
      <c r="C9" s="6" t="inlineStr">
        <is>
          <t>Мотивация</t>
        </is>
      </c>
      <c r="D9" s="7" t="inlineStr">
        <is>
          <t>Мой путь: до / после</t>
        </is>
      </c>
      <c r="E9" s="6" t="inlineStr">
        <is>
          <t>Пост</t>
        </is>
      </c>
      <c r="F9" s="7" t="inlineStr"/>
      <c r="G9" s="6" t="inlineStr">
        <is>
          <t>Идея</t>
        </is>
      </c>
      <c r="H9" s="6" t="inlineStr"/>
      <c r="I9" s="7" t="inlineStr"/>
    </row>
    <row r="10">
      <c r="A10" s="2" t="n">
        <v>46195</v>
      </c>
      <c r="B10" s="3">
        <f>TEXT(A10,"dddd")</f>
        <v/>
      </c>
      <c r="C10" s="3" t="inlineStr">
        <is>
          <t>Тренировки</t>
        </is>
      </c>
      <c r="D10" s="4" t="inlineStr">
        <is>
          <t>Ягодицы: топ-3 упражнения</t>
        </is>
      </c>
      <c r="E10" s="3" t="inlineStr">
        <is>
          <t>Reels</t>
        </is>
      </c>
      <c r="F10" s="4" t="inlineStr">
        <is>
          <t>Округлые ягодицы дома</t>
        </is>
      </c>
      <c r="G10" s="3" t="inlineStr">
        <is>
          <t>Идея</t>
        </is>
      </c>
      <c r="H10" s="3" t="inlineStr"/>
      <c r="I10" s="4" t="inlineStr"/>
    </row>
    <row r="11">
      <c r="A11" s="5" t="n">
        <v>46197</v>
      </c>
      <c r="B11" s="6">
        <f>TEXT(A11,"dddd")</f>
        <v/>
      </c>
      <c r="C11" s="6" t="inlineStr">
        <is>
          <t>Lifestyle</t>
        </is>
      </c>
      <c r="D11" s="7" t="inlineStr">
        <is>
          <t>Что в моей спортивной сумке</t>
        </is>
      </c>
      <c r="E11" s="6" t="inlineStr">
        <is>
          <t>Reels</t>
        </is>
      </c>
      <c r="F11" s="7" t="inlineStr">
        <is>
          <t>Must-have для зала</t>
        </is>
      </c>
      <c r="G11" s="6" t="inlineStr">
        <is>
          <t>Идея</t>
        </is>
      </c>
      <c r="H11" s="6" t="inlineStr"/>
      <c r="I11" s="7" t="inlineStr"/>
    </row>
    <row r="12">
      <c r="A12" s="2" t="n">
        <v>46199</v>
      </c>
      <c r="B12" s="3">
        <f>TEXT(A12,"dddd")</f>
        <v/>
      </c>
      <c r="C12" s="3" t="inlineStr">
        <is>
          <t>Питание</t>
        </is>
      </c>
      <c r="D12" s="4" t="inlineStr">
        <is>
          <t>Миф об углеводах</t>
        </is>
      </c>
      <c r="E12" s="3" t="inlineStr">
        <is>
          <t>Reels</t>
        </is>
      </c>
      <c r="F12" s="4" t="inlineStr">
        <is>
          <t>Углеводы НЕ враг фигуры</t>
        </is>
      </c>
      <c r="G12" s="3" t="inlineStr">
        <is>
          <t>Идея</t>
        </is>
      </c>
      <c r="H12" s="3" t="inlineStr"/>
      <c r="I12" s="4" t="inlineStr"/>
    </row>
    <row r="13">
      <c r="A13" s="5" t="n">
        <v>46200</v>
      </c>
      <c r="B13" s="6">
        <f>TEXT(A13,"dddd")</f>
        <v/>
      </c>
      <c r="C13" s="6" t="inlineStr">
        <is>
          <t>Тренд</t>
        </is>
      </c>
      <c r="D13" s="7" t="inlineStr">
        <is>
          <t>Челлендж недели</t>
        </is>
      </c>
      <c r="E13" s="6" t="inlineStr">
        <is>
          <t>Reels</t>
        </is>
      </c>
      <c r="F13" s="7" t="inlineStr"/>
      <c r="G13" s="6" t="inlineStr">
        <is>
          <t>Идея</t>
        </is>
      </c>
      <c r="H13" s="6" t="inlineStr"/>
      <c r="I13" s="7" t="inlineStr"/>
    </row>
    <row r="14">
      <c r="A14" s="2" t="n">
        <v>46202</v>
      </c>
      <c r="B14" s="3">
        <f>TEXT(A14,"dddd")</f>
        <v/>
      </c>
      <c r="C14" s="3" t="inlineStr">
        <is>
          <t>Тренировки</t>
        </is>
      </c>
      <c r="D14" s="4" t="inlineStr">
        <is>
          <t>Растяжка для новичков</t>
        </is>
      </c>
      <c r="E14" s="3" t="inlineStr">
        <is>
          <t>Reels</t>
        </is>
      </c>
      <c r="F14" s="4" t="inlineStr">
        <is>
          <t>Сесть на шпагат с нуля</t>
        </is>
      </c>
      <c r="G14" s="3" t="inlineStr">
        <is>
          <t>Идея</t>
        </is>
      </c>
      <c r="H14" s="3" t="inlineStr"/>
      <c r="I14" s="4" t="inlineStr"/>
    </row>
    <row r="15">
      <c r="A15" s="5" t="n">
        <v>46204</v>
      </c>
      <c r="B15" s="6">
        <f>TEXT(A15,"dddd")</f>
        <v/>
      </c>
      <c r="C15" s="6" t="inlineStr">
        <is>
          <t>Мотивация</t>
        </is>
      </c>
      <c r="D15" s="7" t="inlineStr">
        <is>
          <t>Как найти время на спорт</t>
        </is>
      </c>
      <c r="E15" s="6" t="inlineStr">
        <is>
          <t>Reels</t>
        </is>
      </c>
      <c r="F15" s="7" t="inlineStr">
        <is>
          <t>Спорт при загруженном графике</t>
        </is>
      </c>
      <c r="G15" s="6" t="inlineStr">
        <is>
          <t>Идея</t>
        </is>
      </c>
      <c r="H15" s="6" t="inlineStr"/>
      <c r="I15" s="7" t="inlineStr"/>
    </row>
    <row r="16">
      <c r="A16" s="2" t="n">
        <v>46206</v>
      </c>
      <c r="B16" s="3">
        <f>TEXT(A16,"dddd")</f>
        <v/>
      </c>
      <c r="C16" s="3" t="inlineStr">
        <is>
          <t>Питание</t>
        </is>
      </c>
      <c r="D16" s="4" t="inlineStr">
        <is>
          <t>Готовлю на неделю (meal prep)</t>
        </is>
      </c>
      <c r="E16" s="3" t="inlineStr">
        <is>
          <t>Reels</t>
        </is>
      </c>
      <c r="F16" s="4" t="inlineStr">
        <is>
          <t>Заготовки на 5 дней за 1 час</t>
        </is>
      </c>
      <c r="G16" s="3" t="inlineStr">
        <is>
          <t>Идея</t>
        </is>
      </c>
      <c r="H16" s="3" t="inlineStr"/>
      <c r="I16" s="4" t="inlineStr"/>
    </row>
    <row r="17">
      <c r="A17" s="5" t="n">
        <v>46207</v>
      </c>
      <c r="B17" s="6">
        <f>TEXT(A17,"dddd")</f>
        <v/>
      </c>
      <c r="C17" s="6" t="inlineStr">
        <is>
          <t>Lifestyle</t>
        </is>
      </c>
      <c r="D17" s="7" t="inlineStr">
        <is>
          <t>Вечерний ритуал восстановления</t>
        </is>
      </c>
      <c r="E17" s="6" t="inlineStr">
        <is>
          <t>Stories</t>
        </is>
      </c>
      <c r="F17" s="7" t="inlineStr"/>
      <c r="G17" s="6" t="inlineStr">
        <is>
          <t>Идея</t>
        </is>
      </c>
      <c r="H17" s="6" t="inlineStr"/>
      <c r="I17" s="7" t="inlineStr"/>
    </row>
  </sheetData>
  <autoFilter ref="A1:I17"/>
  <conditionalFormatting sqref="G2:G100">
    <cfRule type="cellIs" priority="1" operator="equal" dxfId="0">
      <formula>"Идея"</formula>
    </cfRule>
    <cfRule type="cellIs" priority="2" operator="equal" dxfId="1">
      <formula>"В работе"</formula>
    </cfRule>
    <cfRule type="cellIs" priority="3" operator="equal" dxfId="2">
      <formula>"Готово"</formula>
    </cfRule>
    <cfRule type="cellIs" priority="4" operator="equal" dxfId="3">
      <formula>"Опубликовано"</formula>
    </cfRule>
  </conditionalFormatting>
  <dataValidations count="3">
    <dataValidation sqref="C2:C100" showDropDown="0" showInputMessage="0" showErrorMessage="0" allowBlank="1" type="list">
      <formula1>"Тренировки,Питание,Мотивация,Lifestyle,Тренд"</formula1>
    </dataValidation>
    <dataValidation sqref="E2:E100" showDropDown="0" showInputMessage="0" showErrorMessage="0" allowBlank="1" type="list">
      <formula1>"Reels,Пост,Stories"</formula1>
    </dataValidation>
    <dataValidation sqref="G2:G100" showDropDown="0" showInputMessage="0" showErrorMessage="0" allowBlank="1" type="list">
      <formula1>"Идея,В работе,Готово,Опубликовано"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8" t="inlineStr">
        <is>
          <t>📊 Сводка по контент-плану</t>
        </is>
      </c>
      <c r="B1" s="9" t="n"/>
    </row>
    <row r="2">
      <c r="A2" s="9" t="n"/>
      <c r="B2" s="9" t="n"/>
    </row>
    <row r="3">
      <c r="A3" s="10" t="inlineStr">
        <is>
          <t>Всего публикаций</t>
        </is>
      </c>
      <c r="B3" s="9">
        <f>COUNTA('Контент-план'!D2:D100)</f>
        <v/>
      </c>
    </row>
    <row r="4">
      <c r="A4" s="10" t="inlineStr">
        <is>
          <t>Готовность</t>
        </is>
      </c>
      <c r="B4" s="11">
        <f>IFERROR((B14+B15)/B3,0)</f>
        <v/>
      </c>
    </row>
    <row r="5">
      <c r="A5" s="9" t="n"/>
      <c r="B5" s="9" t="n"/>
    </row>
    <row r="6">
      <c r="A6" s="12" t="inlineStr">
        <is>
          <t>По формату</t>
        </is>
      </c>
      <c r="B6" s="13" t="inlineStr"/>
    </row>
    <row r="7">
      <c r="A7" s="9" t="inlineStr">
        <is>
          <t>Reels</t>
        </is>
      </c>
      <c r="B7" s="9">
        <f>COUNTIF('Контент-план'!E2:E100,"Reels")</f>
        <v/>
      </c>
    </row>
    <row r="8">
      <c r="A8" s="9" t="inlineStr">
        <is>
          <t>Пост</t>
        </is>
      </c>
      <c r="B8" s="9">
        <f>COUNTIF('Контент-план'!E2:E100,"Пост")</f>
        <v/>
      </c>
    </row>
    <row r="9">
      <c r="A9" s="9" t="inlineStr">
        <is>
          <t>Stories</t>
        </is>
      </c>
      <c r="B9" s="9">
        <f>COUNTIF('Контент-план'!E2:E100,"Stories")</f>
        <v/>
      </c>
    </row>
    <row r="10">
      <c r="A10" s="9" t="n"/>
      <c r="B10" s="9" t="n"/>
    </row>
    <row r="11">
      <c r="A11" s="12" t="inlineStr">
        <is>
          <t>По статусу</t>
        </is>
      </c>
      <c r="B11" s="13" t="inlineStr"/>
    </row>
    <row r="12">
      <c r="A12" s="9" t="inlineStr">
        <is>
          <t>Идея</t>
        </is>
      </c>
      <c r="B12" s="9">
        <f>COUNTIF('Контент-план'!G2:G100,"Идея")</f>
        <v/>
      </c>
    </row>
    <row r="13">
      <c r="A13" s="9" t="inlineStr">
        <is>
          <t>В работе</t>
        </is>
      </c>
      <c r="B13" s="9">
        <f>COUNTIF('Контент-план'!G2:G100,"В работе")</f>
        <v/>
      </c>
    </row>
    <row r="14">
      <c r="A14" s="9" t="inlineStr">
        <is>
          <t>Готово</t>
        </is>
      </c>
      <c r="B14" s="9">
        <f>COUNTIF('Контент-план'!G2:G100,"Готово")</f>
        <v/>
      </c>
    </row>
    <row r="15">
      <c r="A15" s="9" t="inlineStr">
        <is>
          <t>Опубликовано</t>
        </is>
      </c>
      <c r="B15" s="9">
        <f>COUNTIF('Контент-план'!G2:G100,"Опубликовано")</f>
        <v/>
      </c>
    </row>
    <row r="16">
      <c r="A16" s="9" t="n"/>
      <c r="B16" s="9" t="n"/>
    </row>
    <row r="17">
      <c r="A17" s="12" t="inlineStr">
        <is>
          <t>По рубрике</t>
        </is>
      </c>
      <c r="B17" s="13" t="inlineStr"/>
    </row>
    <row r="18">
      <c r="A18" s="9" t="inlineStr">
        <is>
          <t>Тренировки</t>
        </is>
      </c>
      <c r="B18" s="9">
        <f>COUNTIF('Контент-план'!C2:C100,"Тренировки")</f>
        <v/>
      </c>
    </row>
    <row r="19">
      <c r="A19" s="9" t="inlineStr">
        <is>
          <t>Питание</t>
        </is>
      </c>
      <c r="B19" s="9">
        <f>COUNTIF('Контент-план'!C2:C100,"Питание")</f>
        <v/>
      </c>
    </row>
    <row r="20">
      <c r="A20" s="9" t="inlineStr">
        <is>
          <t>Мотивация</t>
        </is>
      </c>
      <c r="B20" s="9">
        <f>COUNTIF('Контент-план'!C2:C100,"Мотивация")</f>
        <v/>
      </c>
    </row>
    <row r="21">
      <c r="A21" s="9" t="inlineStr">
        <is>
          <t>Lifestyle</t>
        </is>
      </c>
      <c r="B21" s="9">
        <f>COUNTIF('Контент-план'!C2:C100,"Lifestyle")</f>
        <v/>
      </c>
    </row>
    <row r="22">
      <c r="A22" s="9" t="inlineStr">
        <is>
          <t>Тренд</t>
        </is>
      </c>
      <c r="B22" s="9">
        <f>COUNTIF('Контент-план'!C2:C100,"Тренд")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2026-06-05T10:45:52Z</dcterms:created>
  <dcterms:modified xsi:type="dcterms:W3CDTF">2026-06-05T10:45:52Z</dcterms:modified>
</cp:coreProperties>
</file>